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hbssi-my.sharepoint.com/personal/hhaywood_hbssolutionsinc_com/Documents/"/>
    </mc:Choice>
  </mc:AlternateContent>
  <xr:revisionPtr revIDLastSave="0" documentId="8_{D3B6C505-BA91-42C3-80B3-4D8923DC02EF}" xr6:coauthVersionLast="47" xr6:coauthVersionMax="47" xr10:uidLastSave="{00000000-0000-0000-0000-000000000000}"/>
  <bookViews>
    <workbookView xWindow="86280" yWindow="-5310" windowWidth="29040" windowHeight="15720" tabRatio="500" firstSheet="2" activeTab="2" xr2:uid="{00000000-000D-0000-FFFF-FFFF00000000}"/>
  </bookViews>
  <sheets>
    <sheet name="Start Here" sheetId="1" r:id="rId1"/>
    <sheet name="Company Results" sheetId="2" r:id="rId2"/>
    <sheet name="Tune-Up Factory" sheetId="3" r:id="rId3"/>
    <sheet name="Direct Install" sheetId="4" r:id="rId4"/>
    <sheet name="Recurring Revenue" sheetId="5" r:id="rId5"/>
    <sheet name="Aging &amp; Stalled Work" sheetId="6" r:id="rId6"/>
    <sheet name="Issues &amp; Ac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0" i="3" l="1"/>
  <c r="E32" i="2"/>
  <c r="L7" i="3"/>
  <c r="K7" i="3" a="1"/>
  <c r="K7" i="3"/>
  <c r="D31" i="3"/>
  <c r="D32" i="3"/>
  <c r="H7" i="6"/>
  <c r="I7" i="6" s="1"/>
  <c r="H6" i="6"/>
  <c r="I6" i="6" s="1"/>
  <c r="K15" i="5"/>
  <c r="J15" i="5"/>
  <c r="I15" i="5"/>
  <c r="D15" i="5"/>
  <c r="L15" i="5" s="1"/>
  <c r="K14" i="5"/>
  <c r="J14" i="5"/>
  <c r="I14" i="5"/>
  <c r="L14" i="5"/>
  <c r="K13" i="5"/>
  <c r="J13" i="5"/>
  <c r="I13" i="5"/>
  <c r="L13" i="5"/>
  <c r="K12" i="5"/>
  <c r="I12" i="5"/>
  <c r="J12" i="5" s="1"/>
  <c r="D12" i="5"/>
  <c r="K11" i="5"/>
  <c r="I11" i="5"/>
  <c r="J11" i="5" s="1"/>
  <c r="D11" i="5"/>
  <c r="K10" i="5"/>
  <c r="I10" i="5"/>
  <c r="J10" i="5" s="1"/>
  <c r="D10" i="5"/>
  <c r="K9" i="5"/>
  <c r="I9" i="5"/>
  <c r="J9" i="5" s="1"/>
  <c r="D9" i="5"/>
  <c r="K8" i="5"/>
  <c r="I8" i="5"/>
  <c r="J8" i="5" s="1"/>
  <c r="D8" i="5"/>
  <c r="K7" i="5"/>
  <c r="J7" i="5"/>
  <c r="I7" i="5"/>
  <c r="D7" i="5"/>
  <c r="L7" i="5" s="1"/>
  <c r="K6" i="5"/>
  <c r="I6" i="5"/>
  <c r="J6" i="5" s="1"/>
  <c r="D6" i="5"/>
  <c r="K12" i="4"/>
  <c r="I12" i="4"/>
  <c r="J12" i="4" s="1"/>
  <c r="D12" i="4"/>
  <c r="K11" i="4"/>
  <c r="I11" i="4"/>
  <c r="J11" i="4" s="1"/>
  <c r="D11" i="4"/>
  <c r="K10" i="4"/>
  <c r="I10" i="4"/>
  <c r="J10" i="4" s="1"/>
  <c r="D10" i="4"/>
  <c r="K9" i="4"/>
  <c r="J9" i="4"/>
  <c r="I9" i="4"/>
  <c r="D9" i="4"/>
  <c r="L9" i="4" s="1"/>
  <c r="K8" i="4"/>
  <c r="J8" i="4"/>
  <c r="I8" i="4"/>
  <c r="D8" i="4"/>
  <c r="L8" i="4" s="1"/>
  <c r="K7" i="4"/>
  <c r="J7" i="4"/>
  <c r="I7" i="4"/>
  <c r="D7" i="4"/>
  <c r="L7" i="4" s="1"/>
  <c r="K6" i="4"/>
  <c r="I6" i="4"/>
  <c r="J6" i="4" s="1"/>
  <c r="D6" i="4"/>
  <c r="K98" i="3"/>
  <c r="I98" i="3"/>
  <c r="J98" i="3" s="1"/>
  <c r="D98" i="3"/>
  <c r="K97" i="3"/>
  <c r="I97" i="3"/>
  <c r="J97" i="3" s="1"/>
  <c r="D97" i="3"/>
  <c r="K96" i="3"/>
  <c r="J96" i="3"/>
  <c r="I96" i="3"/>
  <c r="D96" i="3"/>
  <c r="L96" i="3" s="1"/>
  <c r="K95" i="3"/>
  <c r="I95" i="3"/>
  <c r="J95" i="3" s="1"/>
  <c r="D95" i="3"/>
  <c r="K94" i="3"/>
  <c r="J94" i="3"/>
  <c r="I94" i="3"/>
  <c r="D94" i="3"/>
  <c r="L94" i="3" s="1"/>
  <c r="K93" i="3"/>
  <c r="I93" i="3"/>
  <c r="J93" i="3" s="1"/>
  <c r="D93" i="3"/>
  <c r="K92" i="3"/>
  <c r="J92" i="3"/>
  <c r="I92" i="3"/>
  <c r="D92" i="3"/>
  <c r="L92" i="3" s="1"/>
  <c r="K91" i="3"/>
  <c r="J91" i="3"/>
  <c r="I91" i="3"/>
  <c r="D91" i="3"/>
  <c r="L91" i="3" s="1"/>
  <c r="K87" i="3"/>
  <c r="J87" i="3"/>
  <c r="I87" i="3"/>
  <c r="D87" i="3"/>
  <c r="L87" i="3" s="1"/>
  <c r="K86" i="3"/>
  <c r="J86" i="3"/>
  <c r="I86" i="3"/>
  <c r="D86" i="3"/>
  <c r="L86" i="3" s="1"/>
  <c r="K85" i="3"/>
  <c r="I85" i="3"/>
  <c r="J85" i="3" s="1"/>
  <c r="D85" i="3"/>
  <c r="K84" i="3"/>
  <c r="I84" i="3"/>
  <c r="J84" i="3" s="1"/>
  <c r="D84" i="3"/>
  <c r="K83" i="3"/>
  <c r="J83" i="3"/>
  <c r="I83" i="3"/>
  <c r="D83" i="3"/>
  <c r="L83" i="3" s="1"/>
  <c r="K82" i="3"/>
  <c r="I82" i="3"/>
  <c r="J82" i="3" s="1"/>
  <c r="D82" i="3"/>
  <c r="K81" i="3"/>
  <c r="J81" i="3"/>
  <c r="I81" i="3"/>
  <c r="D81" i="3"/>
  <c r="L81" i="3" s="1"/>
  <c r="K80" i="3"/>
  <c r="I80" i="3"/>
  <c r="J80" i="3" s="1"/>
  <c r="D80" i="3"/>
  <c r="K79" i="3"/>
  <c r="J79" i="3"/>
  <c r="I79" i="3"/>
  <c r="D79" i="3"/>
  <c r="K78" i="3"/>
  <c r="J78" i="3"/>
  <c r="I78" i="3"/>
  <c r="D78" i="3"/>
  <c r="L78" i="3" s="1"/>
  <c r="K77" i="3"/>
  <c r="J77" i="3"/>
  <c r="I77" i="3"/>
  <c r="D77" i="3"/>
  <c r="L77" i="3" s="1"/>
  <c r="K76" i="3"/>
  <c r="J76" i="3"/>
  <c r="I76" i="3"/>
  <c r="D76" i="3"/>
  <c r="L76" i="3" s="1"/>
  <c r="K75" i="3"/>
  <c r="J75" i="3"/>
  <c r="I75" i="3"/>
  <c r="D75" i="3"/>
  <c r="L75" i="3" s="1"/>
  <c r="K71" i="3"/>
  <c r="I71" i="3"/>
  <c r="J71" i="3" s="1"/>
  <c r="D71" i="3"/>
  <c r="K70" i="3"/>
  <c r="J70" i="3"/>
  <c r="D70" i="3"/>
  <c r="K69" i="3"/>
  <c r="J69" i="3"/>
  <c r="I69" i="3"/>
  <c r="D69" i="3"/>
  <c r="L69" i="3" s="1"/>
  <c r="K68" i="3"/>
  <c r="I68" i="3"/>
  <c r="J68" i="3" s="1"/>
  <c r="D68" i="3"/>
  <c r="K67" i="3"/>
  <c r="J67" i="3"/>
  <c r="I67" i="3"/>
  <c r="D67" i="3"/>
  <c r="L67" i="3" s="1"/>
  <c r="K66" i="3"/>
  <c r="I66" i="3"/>
  <c r="J66" i="3" s="1"/>
  <c r="D66" i="3"/>
  <c r="K65" i="3"/>
  <c r="J65" i="3"/>
  <c r="I65" i="3"/>
  <c r="D65" i="3"/>
  <c r="L65" i="3" s="1"/>
  <c r="K64" i="3"/>
  <c r="J64" i="3"/>
  <c r="I64" i="3"/>
  <c r="D64" i="3"/>
  <c r="L64" i="3" s="1"/>
  <c r="K60" i="3"/>
  <c r="I60" i="3"/>
  <c r="J60" i="3" s="1"/>
  <c r="D60" i="3"/>
  <c r="K59" i="3"/>
  <c r="I59" i="3"/>
  <c r="J59" i="3" s="1"/>
  <c r="D59" i="3"/>
  <c r="K58" i="3"/>
  <c r="J58" i="3"/>
  <c r="I58" i="3"/>
  <c r="D58" i="3"/>
  <c r="L58" i="3" s="1"/>
  <c r="K57" i="3"/>
  <c r="I57" i="3"/>
  <c r="J57" i="3" s="1"/>
  <c r="D57" i="3"/>
  <c r="K56" i="3"/>
  <c r="J56" i="3"/>
  <c r="I56" i="3"/>
  <c r="D56" i="3"/>
  <c r="L56" i="3" s="1"/>
  <c r="K55" i="3"/>
  <c r="I55" i="3"/>
  <c r="J55" i="3" s="1"/>
  <c r="D55" i="3"/>
  <c r="K54" i="3"/>
  <c r="J54" i="3"/>
  <c r="I54" i="3"/>
  <c r="D54" i="3"/>
  <c r="L54" i="3" s="1"/>
  <c r="K53" i="3"/>
  <c r="J53" i="3"/>
  <c r="I53" i="3"/>
  <c r="D53" i="3"/>
  <c r="L53" i="3" s="1"/>
  <c r="K49" i="3"/>
  <c r="I49" i="3"/>
  <c r="J49" i="3" s="1"/>
  <c r="D49" i="3"/>
  <c r="K48" i="3"/>
  <c r="I48" i="3"/>
  <c r="J48" i="3" s="1"/>
  <c r="D48" i="3"/>
  <c r="K47" i="3"/>
  <c r="J47" i="3"/>
  <c r="I47" i="3"/>
  <c r="D47" i="3"/>
  <c r="L47" i="3" s="1"/>
  <c r="K46" i="3"/>
  <c r="I46" i="3"/>
  <c r="J46" i="3" s="1"/>
  <c r="D46" i="3"/>
  <c r="K45" i="3"/>
  <c r="J45" i="3"/>
  <c r="I45" i="3"/>
  <c r="D45" i="3"/>
  <c r="L45" i="3" s="1"/>
  <c r="K44" i="3"/>
  <c r="I44" i="3"/>
  <c r="J44" i="3" s="1"/>
  <c r="D44" i="3"/>
  <c r="K43" i="3"/>
  <c r="J43" i="3"/>
  <c r="I43" i="3"/>
  <c r="D43" i="3"/>
  <c r="L43" i="3" s="1"/>
  <c r="K42" i="3"/>
  <c r="J42" i="3"/>
  <c r="I42" i="3"/>
  <c r="D42" i="3"/>
  <c r="L42" i="3" s="1"/>
  <c r="K38" i="3"/>
  <c r="I38" i="3"/>
  <c r="J38" i="3" s="1"/>
  <c r="D38" i="3"/>
  <c r="K37" i="3"/>
  <c r="I37" i="3"/>
  <c r="J37" i="3" s="1"/>
  <c r="D37" i="3"/>
  <c r="K36" i="3"/>
  <c r="J36" i="3"/>
  <c r="I36" i="3"/>
  <c r="D36" i="3"/>
  <c r="L36" i="3" s="1"/>
  <c r="K35" i="3"/>
  <c r="I35" i="3"/>
  <c r="J35" i="3" s="1"/>
  <c r="D35" i="3"/>
  <c r="K34" i="3"/>
  <c r="J34" i="3"/>
  <c r="I34" i="3"/>
  <c r="D34" i="3"/>
  <c r="L34" i="3" s="1"/>
  <c r="K33" i="3"/>
  <c r="I33" i="3"/>
  <c r="J33" i="3" s="1"/>
  <c r="D33" i="3"/>
  <c r="K32" i="3"/>
  <c r="J32" i="3"/>
  <c r="I32" i="3"/>
  <c r="L32" i="3"/>
  <c r="K31" i="3"/>
  <c r="J31" i="3"/>
  <c r="I31" i="3"/>
  <c r="L31" i="3"/>
  <c r="K30" i="3"/>
  <c r="I30" i="3"/>
  <c r="J30" i="3" s="1"/>
  <c r="D30" i="3"/>
  <c r="K29" i="3"/>
  <c r="I29" i="3"/>
  <c r="J29" i="3" s="1"/>
  <c r="D29" i="3"/>
  <c r="K28" i="3"/>
  <c r="I28" i="3"/>
  <c r="J28" i="3" s="1"/>
  <c r="D28" i="3"/>
  <c r="K24" i="3"/>
  <c r="I24" i="3"/>
  <c r="J24" i="3" s="1"/>
  <c r="D24" i="3"/>
  <c r="K23" i="3"/>
  <c r="I23" i="3"/>
  <c r="J23" i="3" s="1"/>
  <c r="D23" i="3"/>
  <c r="K22" i="3"/>
  <c r="J22" i="3"/>
  <c r="I22" i="3"/>
  <c r="D22" i="3"/>
  <c r="L22" i="3" s="1"/>
  <c r="K21" i="3"/>
  <c r="I21" i="3"/>
  <c r="J21" i="3" s="1"/>
  <c r="D21" i="3"/>
  <c r="K20" i="3"/>
  <c r="J20" i="3"/>
  <c r="I20" i="3"/>
  <c r="D20" i="3"/>
  <c r="L20" i="3" s="1"/>
  <c r="K19" i="3"/>
  <c r="I19" i="3"/>
  <c r="J19" i="3" s="1"/>
  <c r="D19" i="3"/>
  <c r="K18" i="3"/>
  <c r="J18" i="3"/>
  <c r="I18" i="3"/>
  <c r="D18" i="3"/>
  <c r="L18" i="3" s="1"/>
  <c r="K17" i="3"/>
  <c r="J17" i="3"/>
  <c r="I17" i="3"/>
  <c r="D17" i="3"/>
  <c r="L17" i="3" s="1"/>
  <c r="K13" i="3"/>
  <c r="I13" i="3"/>
  <c r="J13" i="3" s="1"/>
  <c r="D13" i="3"/>
  <c r="K12" i="3"/>
  <c r="I12" i="3"/>
  <c r="J12" i="3" s="1"/>
  <c r="D12" i="3"/>
  <c r="K11" i="3"/>
  <c r="J11" i="3"/>
  <c r="I11" i="3"/>
  <c r="D11" i="3"/>
  <c r="L11" i="3" s="1"/>
  <c r="K10" i="3"/>
  <c r="I10" i="3"/>
  <c r="J10" i="3" s="1"/>
  <c r="D10" i="3"/>
  <c r="K9" i="3"/>
  <c r="J9" i="3"/>
  <c r="I9" i="3"/>
  <c r="D9" i="3"/>
  <c r="L9" i="3" s="1"/>
  <c r="K8" i="3"/>
  <c r="L8" i="3" s="1"/>
  <c r="I8" i="3"/>
  <c r="J8" i="3" s="1"/>
  <c r="I7" i="3"/>
  <c r="D8" i="3"/>
  <c r="K6" i="3"/>
  <c r="J6" i="3"/>
  <c r="I6" i="3"/>
  <c r="D6" i="3"/>
  <c r="L6" i="3" s="1"/>
  <c r="J44" i="2"/>
  <c r="H44" i="2"/>
  <c r="G44" i="2"/>
  <c r="F44" i="2"/>
  <c r="E44" i="2"/>
  <c r="D44" i="2"/>
  <c r="L44" i="2" s="1"/>
  <c r="J43" i="2"/>
  <c r="H43" i="2"/>
  <c r="G43" i="2"/>
  <c r="F43" i="2"/>
  <c r="E43" i="2"/>
  <c r="D43" i="2"/>
  <c r="L43" i="2" s="1"/>
  <c r="K38" i="2"/>
  <c r="I38" i="2"/>
  <c r="C33" i="2"/>
  <c r="C34" i="2" s="1"/>
  <c r="H32" i="2"/>
  <c r="G32" i="2"/>
  <c r="F32" i="2"/>
  <c r="D32" i="2"/>
  <c r="K31" i="2"/>
  <c r="I31" i="2"/>
  <c r="J31" i="2" s="1"/>
  <c r="D31" i="2"/>
  <c r="K30" i="2"/>
  <c r="I30" i="2"/>
  <c r="J30" i="2" s="1"/>
  <c r="D30" i="2"/>
  <c r="K29" i="2"/>
  <c r="I29" i="2"/>
  <c r="J29" i="2" s="1"/>
  <c r="D29" i="2"/>
  <c r="K28" i="2"/>
  <c r="I28" i="2"/>
  <c r="J28" i="2" s="1"/>
  <c r="D28" i="2"/>
  <c r="K27" i="2"/>
  <c r="I27" i="2"/>
  <c r="J27" i="2" s="1"/>
  <c r="D27" i="2"/>
  <c r="K26" i="2"/>
  <c r="I26" i="2"/>
  <c r="J26" i="2" s="1"/>
  <c r="D26" i="2"/>
  <c r="K25" i="2"/>
  <c r="I25" i="2"/>
  <c r="J25" i="2" s="1"/>
  <c r="D25" i="2"/>
  <c r="K24" i="2"/>
  <c r="I24" i="2"/>
  <c r="J24" i="2" s="1"/>
  <c r="D24" i="2"/>
  <c r="K23" i="2"/>
  <c r="I23" i="2"/>
  <c r="J23" i="2" s="1"/>
  <c r="D23" i="2"/>
  <c r="K22" i="2"/>
  <c r="I22" i="2"/>
  <c r="J22" i="2" s="1"/>
  <c r="D22" i="2"/>
  <c r="K21" i="2"/>
  <c r="I21" i="2"/>
  <c r="J21" i="2" s="1"/>
  <c r="D21" i="2"/>
  <c r="K20" i="2"/>
  <c r="I20" i="2"/>
  <c r="J20" i="2" s="1"/>
  <c r="D20" i="2"/>
  <c r="K19" i="2"/>
  <c r="I19" i="2"/>
  <c r="J19" i="2" s="1"/>
  <c r="D19" i="2"/>
  <c r="K18" i="2"/>
  <c r="I18" i="2"/>
  <c r="J18" i="2" s="1"/>
  <c r="D18" i="2"/>
  <c r="K17" i="2"/>
  <c r="I17" i="2"/>
  <c r="J17" i="2" s="1"/>
  <c r="D17" i="2"/>
  <c r="K16" i="2"/>
  <c r="I16" i="2"/>
  <c r="J16" i="2" s="1"/>
  <c r="D16" i="2"/>
  <c r="K15" i="2"/>
  <c r="I15" i="2"/>
  <c r="J15" i="2" s="1"/>
  <c r="D15" i="2"/>
  <c r="H11" i="2"/>
  <c r="G11" i="2"/>
  <c r="F11" i="2"/>
  <c r="E11" i="2"/>
  <c r="C11" i="2"/>
  <c r="C38" i="2" s="1"/>
  <c r="K10" i="2"/>
  <c r="I10" i="2"/>
  <c r="J10" i="2" s="1"/>
  <c r="D10" i="2"/>
  <c r="K9" i="2"/>
  <c r="I9" i="2"/>
  <c r="J9" i="2" s="1"/>
  <c r="D9" i="2"/>
  <c r="K8" i="2"/>
  <c r="I8" i="2"/>
  <c r="J8" i="2" s="1"/>
  <c r="D8" i="2"/>
  <c r="K7" i="2"/>
  <c r="I7" i="2"/>
  <c r="J7" i="2" s="1"/>
  <c r="D7" i="2"/>
  <c r="K6" i="2"/>
  <c r="I6" i="2"/>
  <c r="J6" i="2" s="1"/>
  <c r="D6" i="2"/>
  <c r="L12" i="5" l="1"/>
  <c r="L10" i="5"/>
  <c r="L11" i="5"/>
  <c r="L9" i="5"/>
  <c r="L12" i="4"/>
  <c r="L6" i="5"/>
  <c r="L8" i="5"/>
  <c r="L11" i="4"/>
  <c r="L98" i="3"/>
  <c r="L6" i="4"/>
  <c r="L10" i="4"/>
  <c r="L97" i="3"/>
  <c r="L85" i="3"/>
  <c r="L93" i="3"/>
  <c r="L95" i="3"/>
  <c r="L84" i="3"/>
  <c r="L82" i="3"/>
  <c r="L80" i="3"/>
  <c r="L71" i="3"/>
  <c r="L79" i="3"/>
  <c r="L60" i="3"/>
  <c r="L70" i="3"/>
  <c r="L68" i="3"/>
  <c r="L66" i="3"/>
  <c r="L59" i="3"/>
  <c r="L57" i="3"/>
  <c r="L55" i="3"/>
  <c r="L49" i="3"/>
  <c r="L48" i="3"/>
  <c r="L46" i="3"/>
  <c r="L44" i="3"/>
  <c r="L38" i="3"/>
  <c r="L37" i="3"/>
  <c r="L35" i="3"/>
  <c r="L30" i="3"/>
  <c r="L33" i="3"/>
  <c r="L28" i="3"/>
  <c r="L29" i="3"/>
  <c r="L23" i="3"/>
  <c r="L24" i="3"/>
  <c r="L21" i="3"/>
  <c r="L19" i="3"/>
  <c r="L10" i="3"/>
  <c r="L12" i="3"/>
  <c r="L13" i="3"/>
  <c r="L31" i="2"/>
  <c r="L30" i="2"/>
  <c r="L29" i="2"/>
  <c r="L28" i="2"/>
  <c r="L27" i="2"/>
  <c r="L26" i="2"/>
  <c r="L25" i="2"/>
  <c r="L24" i="2"/>
  <c r="L21" i="2"/>
  <c r="L23" i="2"/>
  <c r="L22" i="2"/>
  <c r="L20" i="2"/>
  <c r="L19" i="2"/>
  <c r="L18" i="2"/>
  <c r="L17" i="2"/>
  <c r="L16" i="2"/>
  <c r="L15" i="2"/>
  <c r="L10" i="2"/>
  <c r="L6" i="2"/>
  <c r="K44" i="2"/>
  <c r="K43" i="2"/>
  <c r="K32" i="2"/>
  <c r="L32" i="2" s="1"/>
  <c r="L8" i="2"/>
  <c r="I43" i="2"/>
  <c r="L9" i="2"/>
  <c r="D11" i="2"/>
  <c r="I44" i="2"/>
  <c r="I32" i="2"/>
  <c r="J32" i="2" s="1"/>
  <c r="L7" i="2"/>
  <c r="K11" i="2"/>
  <c r="D38" i="2"/>
  <c r="L38" i="2" s="1"/>
  <c r="J38" i="2"/>
  <c r="I11" i="2"/>
  <c r="J11" i="2" s="1"/>
  <c r="L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0" authorId="0" shapeId="0" xr:uid="{00000000-0006-0000-0000-000001000000}">
      <text>
        <r>
          <rPr>
            <sz val="10"/>
            <rFont val="Arial"/>
            <family val="2"/>
          </rPr>
          <t>September 2026 has 4 Mondays (9/7, 9/14, 9/21, 9/28). Update this each month — Weekly Target = Monthly Goal / this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5" authorId="0" shapeId="0" xr:uid="{00000000-0006-0000-0100-000001000000}">
      <text>
        <r>
          <rPr>
            <sz val="10"/>
            <rFont val="Arial"/>
            <family val="2"/>
          </rPr>
          <t>Set this stream's Monthly Goal so it rolls up toward the $1,668,200 total below.</t>
        </r>
      </text>
    </comment>
    <comment ref="A38" authorId="0" shapeId="0" xr:uid="{00000000-0006-0000-0100-000002000000}">
      <text>
        <r>
          <rPr>
            <sz val="10"/>
            <rFont val="Arial"/>
            <family val="2"/>
          </rPr>
          <t>Assumption: Monthly Collection Goal defaults to the Total Revenue goal above. Confirm with Devon if collections should target a different number (timing lag on utility incentive payments, etc.).</t>
        </r>
      </text>
    </comment>
    <comment ref="A43" authorId="0" shapeId="0" xr:uid="{00000000-0006-0000-0100-000003000000}">
      <text>
        <r>
          <rPr>
            <sz val="10"/>
            <rFont val="Arial"/>
            <family val="2"/>
          </rPr>
          <t>Auto-sums the "Pre-Approvals Submitted ($ Value)" row from every program section on the Tune-Up Factory tab (EmPower MD, BGE Tune-Up, BGE BPTU, Pepco/WGL, Delmarva, SMECO, Georgia, VA/CGS).</t>
        </r>
      </text>
    </comment>
    <comment ref="A44" authorId="0" shapeId="0" xr:uid="{00000000-0006-0000-0100-000004000000}">
      <text>
        <r>
          <rPr>
            <sz val="10"/>
            <rFont val="Arial"/>
            <family val="2"/>
          </rPr>
          <t>Auto-sums the "Implementations Scheduled (Est. Incentive $)" row from every program section on the Tune-Up Factory tab.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200-000001000000}">
      <text>
        <r>
          <rPr>
            <sz val="10"/>
            <rFont val="Arial"/>
            <family val="2"/>
          </rPr>
          <t>Submitted as its own prescriptive application, separate from a bundled Building Tune-Up, so HBS gets paid on its own faster timeline instead of waiting on the full BTU project — the reason this track gets its own section.</t>
        </r>
      </text>
    </comment>
    <comment ref="A6" authorId="0" shapeId="0" xr:uid="{00000000-0006-0000-0200-000002000000}">
      <text>
        <r>
          <rPr>
            <sz val="10"/>
            <rFont val="Arial"/>
            <family val="2"/>
          </rPr>
          <t>Measuring completed movement (Audits -&gt; Pre-Approvals Submitted -&gt; Pre-Approvals Approved) rather than just activity-assigned counts, per your notes — this shows whether work is actually flowing, not just busy.</t>
        </r>
      </text>
    </comment>
    <comment ref="A8" authorId="0" shapeId="0" xr:uid="{00000000-0006-0000-0200-000003000000}">
      <text>
        <r>
          <rPr>
            <sz val="10"/>
            <rFont val="Arial"/>
            <family val="2"/>
          </rPr>
          <t>Tracked in dollars alongside the count above so Company Results can roll up a total $ amount of pre-approvals submitted across every program, not just a count.</t>
        </r>
      </text>
    </comment>
    <comment ref="A10" authorId="0" shapeId="0" xr:uid="{00000000-0006-0000-0200-000004000000}">
      <text>
        <r>
          <rPr>
            <sz val="10"/>
            <rFont val="Arial"/>
            <family val="2"/>
          </rPr>
          <t>New line — the estimated incentive $ value of everything scheduled for implementation that week (not a headcount), so it rolls up into the Company Results dollar total below.</t>
        </r>
      </text>
    </comment>
    <comment ref="A28" authorId="0" shapeId="0" xr:uid="{00000000-0006-0000-0200-000005000000}">
      <text>
        <r>
          <rPr>
            <sz val="10"/>
            <rFont val="Arial"/>
            <family val="2"/>
          </rPr>
          <t>BPTU-specific submission tracking — everything below this point follows the same structure as every other Tune-Up program.</t>
        </r>
      </text>
    </comment>
    <comment ref="A73" authorId="0" shapeId="0" xr:uid="{00000000-0006-0000-0200-000006000000}">
      <text>
        <r>
          <rPr>
            <sz val="10"/>
            <rFont val="Arial"/>
            <family val="2"/>
          </rPr>
          <t>One accountable owner for the whole Georgia score, not just per-KPI reporters. HBS already has field staff here who are currently underutilized, so this section also carries the sales/demand activity and technician time the other utility programs don't need to track.</t>
        </r>
      </text>
    </comment>
    <comment ref="A75" authorId="0" shapeId="0" xr:uid="{00000000-0006-0000-0200-000007000000}">
      <text>
        <r>
          <rPr>
            <sz val="10"/>
            <rFont val="Arial"/>
            <family val="2"/>
          </rPr>
          <t>Georgia-specific — the sales/demand activity that feeds the same Audits -&gt; Pre-Approvals -&gt; Implementations -&gt; Closeout funnel below.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4" authorId="0" shapeId="0" xr:uid="{00000000-0006-0000-0300-000001000000}">
      <text>
        <r>
          <rPr>
            <sz val="10"/>
            <rFont val="Arial"/>
            <family val="2"/>
          </rPr>
          <t>You flagged this as possibly a monthly-only metric rather than weekly — left off the weekly grid above; add it to your monthly owner review instead.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<sst xmlns="http://schemas.openxmlformats.org/spreadsheetml/2006/main" count="494" uniqueCount="156">
  <si>
    <t>HBS Weekly Company Scoreboard</t>
  </si>
  <si>
    <t>Working v1 — built for the Monday operating meeting</t>
  </si>
  <si>
    <t>Purpose</t>
  </si>
  <si>
    <t>Are we on pace to hit this month's revenue, profit/cash, sales, and production goals — and where is the flow breaking down? This scoreboard follows HBS's economic flow (Demand -&gt; Opportunity -&gt; Production -&gt; Closeout/Cash) with a dedicated Georgia section on the Tune-Up Factory tab and dedicated tabs for Direct Install and Recurring Revenue, so leaders report their numbers every week and problems surface before the last week of the month.</t>
  </si>
  <si>
    <t>Setup</t>
  </si>
  <si>
    <t>Weeks in this month:</t>
  </si>
  <si>
    <t>Current week:</t>
  </si>
  <si>
    <t>Wk1 (9/7-9/13)</t>
  </si>
  <si>
    <t>Color Legend — colors appear automatically the moment a weekly score is typed in</t>
  </si>
  <si>
    <t>GREEN</t>
  </si>
  <si>
    <t>On pace — actual meets or beats the Weekly Target.</t>
  </si>
  <si>
    <t>YELLOW</t>
  </si>
  <si>
    <t>Close — within 15% of the Weekly Target. Early warning, not yet a crisis.</t>
  </si>
  <si>
    <t>RED</t>
  </si>
  <si>
    <t>Off pace — more than 15% below the Weekly Target. Owner explains why + corrective action in the Issues &amp; Actions tab.</t>
  </si>
  <si>
    <t>How to read the cells</t>
  </si>
  <si>
    <t>Blue text / pale blue fill</t>
  </si>
  <si>
    <t>A cell you fill in — a goal, a weekly score, or an owner name.</t>
  </si>
  <si>
    <t>Black text, no fill</t>
  </si>
  <si>
    <t>A formula — don't type over these (Weekly Target, MTD, % to Goal, Status).</t>
  </si>
  <si>
    <t>Orange italic "TBD"</t>
  </si>
  <si>
    <t>An owner that still needs to be assigned or confirmed.</t>
  </si>
  <si>
    <t>Suggested Monday meeting flow</t>
  </si>
  <si>
    <t>1. Company Results — revenue, sales, deposits/collections, overall pace</t>
  </si>
  <si>
    <t>2. Tune-Up Factory — Demand / Opportunity / Production / Closeout by utility program</t>
  </si>
  <si>
    <t>3. Georgia — is the Georgia team getting enough productive work?</t>
  </si>
  <si>
    <t>4. Direct Install — sales through closeout</t>
  </si>
  <si>
    <t>5. Recurring Revenue — service contracts, Zentility, renewals</t>
  </si>
  <si>
    <t>6. Aging &amp; Stalled Work — anything HBS is sitting on internally</t>
  </si>
  <si>
    <t>7. Red KPIs / Issues &amp; Actions — only items needing a decision or corrective action</t>
  </si>
  <si>
    <t>8. Commitments — every action leaves with one owner + one due date</t>
  </si>
  <si>
    <t>Open items to finalize with your leadership team</t>
  </si>
  <si>
    <t>• Owners marked TBD below are best-guess defaults based on current roles — confirm or reassign at the meeting.</t>
  </si>
  <si>
    <t>• Individual Monthly Goals for each sales stream/program still need to be set (only the $1,668,200 September sales total is entered).</t>
  </si>
  <si>
    <t>• Monthly Collection Goal defaults to the total revenue goal — confirm with Devon if collections should target a different number (e.g. timing lag).</t>
  </si>
  <si>
    <t>• Cash-on-hand / bank reserve is intentionally left off this scoreboard — that stays an owner-level number, per your instructions.</t>
  </si>
  <si>
    <t>• Georgia should have one single accountable owner for the overall score, not just per-KPI reporters — assign that on the Georgia section of the Tune-Up Factory tab.</t>
  </si>
  <si>
    <t>Company Results</t>
  </si>
  <si>
    <t>Top-level revenue, sales, and cash pace for the month</t>
  </si>
  <si>
    <t>Revenue by Stream</t>
  </si>
  <si>
    <t>Program / KPI</t>
  </si>
  <si>
    <t>Owner</t>
  </si>
  <si>
    <t>Monthly Goal</t>
  </si>
  <si>
    <t>Weekly Target</t>
  </si>
  <si>
    <t>Wk1
9/7</t>
  </si>
  <si>
    <t>Wk2
9/14</t>
  </si>
  <si>
    <t>Wk3
9/21</t>
  </si>
  <si>
    <t>Wk4
9/28</t>
  </si>
  <si>
    <t>MTD Actual</t>
  </si>
  <si>
    <t>% to Monthly Goal</t>
  </si>
  <si>
    <t>Latest</t>
  </si>
  <si>
    <t>Status</t>
  </si>
  <si>
    <t>Tune-Up</t>
  </si>
  <si>
    <t>Michael Costa (Director of Operations)</t>
  </si>
  <si>
    <t>Commissioning</t>
  </si>
  <si>
    <t>Devon Goforth (Director of Accounting)</t>
  </si>
  <si>
    <t>Consulting / Ongoing</t>
  </si>
  <si>
    <t>BAS / Controls</t>
  </si>
  <si>
    <t>Direct Install</t>
  </si>
  <si>
    <t>TOTAL HBS REVENUE</t>
  </si>
  <si>
    <t>Mark Gill (Fractional COO)</t>
  </si>
  <si>
    <t>Sales / New Work by Program (September goal: $1,668,200 total)</t>
  </si>
  <si>
    <t>BGE BPTU Phase 1</t>
  </si>
  <si>
    <t>Adriana</t>
  </si>
  <si>
    <t>BGE BPTU Phase 2</t>
  </si>
  <si>
    <t>BGE Tune-Up</t>
  </si>
  <si>
    <t>Pepco</t>
  </si>
  <si>
    <t>Delmarva</t>
  </si>
  <si>
    <t>SMECO</t>
  </si>
  <si>
    <t>WGL</t>
  </si>
  <si>
    <t>Georgia</t>
  </si>
  <si>
    <t>Virginia / CGS</t>
  </si>
  <si>
    <t>BAS</t>
  </si>
  <si>
    <t>HVAC Tune-Up Prescriptive</t>
  </si>
  <si>
    <t>HVAC Service Contracts</t>
  </si>
  <si>
    <t>BAS Service Contracts</t>
  </si>
  <si>
    <t>Zentility</t>
  </si>
  <si>
    <t>TOTAL SALES</t>
  </si>
  <si>
    <t>Sum of streams entered above</t>
  </si>
  <si>
    <t>Unallocated (Total goal minus streams entered)</t>
  </si>
  <si>
    <t>Cash / Collections (bank balance intentionally excluded)</t>
  </si>
  <si>
    <t>Deposits Received</t>
  </si>
  <si>
    <t>Tune-Up Factory Summary (auto-populated from the Tune-Up Factory tab)</t>
  </si>
  <si>
    <t>Pre-Approvals Submitted — Total $ This Week</t>
  </si>
  <si>
    <t>Michael Costa</t>
  </si>
  <si>
    <t>Implementations Scheduled — Est. Incentive $ This Week</t>
  </si>
  <si>
    <t>Tune-Up Factory</t>
  </si>
  <si>
    <t>Demand -&gt; Opportunity -&gt; Production -&gt; Closeout/Cash, by utility program</t>
  </si>
  <si>
    <t>PRIORITY PUSH: EmPower MD Prescriptive HVAC Tune-Ups</t>
  </si>
  <si>
    <t>Audits Completed</t>
  </si>
  <si>
    <t>Steve Weaver (PM)</t>
  </si>
  <si>
    <t>Pre-Approvals Submitted (count)</t>
  </si>
  <si>
    <t>Pre-Approvals Submitted ($ Value)</t>
  </si>
  <si>
    <t>Pre-Approvals Approved (count)</t>
  </si>
  <si>
    <t>Implementations Scheduled (Est. Incentive $)</t>
  </si>
  <si>
    <t>David Rodriguez (Ops Mgr)</t>
  </si>
  <si>
    <t>Implementations Completed (count)</t>
  </si>
  <si>
    <t>Closeouts Submitted (count)</t>
  </si>
  <si>
    <t>Payments Received ($)</t>
  </si>
  <si>
    <t>David Wilkinson (Lead Engineer)</t>
  </si>
  <si>
    <t>BGE Building Performance Tune-Up (BPTU)</t>
  </si>
  <si>
    <t># of BPTUs Submitted</t>
  </si>
  <si>
    <t>Total $ of BPTU Phase-1 Applications Submitted</t>
  </si>
  <si>
    <t>$ Value of BPTU Phase-2 Incentive Submitted for Pre-Approval</t>
  </si>
  <si>
    <t xml:space="preserve"> </t>
  </si>
  <si>
    <t>Pepco / WGL</t>
  </si>
  <si>
    <t>Ameya (Lead Engineer)</t>
  </si>
  <si>
    <t>New Qualified GA Opportunities</t>
  </si>
  <si>
    <t>TBD</t>
  </si>
  <si>
    <t>Customer Meetings / Site Visits</t>
  </si>
  <si>
    <t>Proposals Submitted</t>
  </si>
  <si>
    <t>Revenue ($)</t>
  </si>
  <si>
    <t>Technician Utilization / Productive Hours (%)</t>
  </si>
  <si>
    <t>Sales through closeout for the Direct Install track</t>
  </si>
  <si>
    <t>Weekly KPIs</t>
  </si>
  <si>
    <t>Sales ($)</t>
  </si>
  <si>
    <t xml:space="preserve">Adriana </t>
  </si>
  <si>
    <t>Approved / Available Projects</t>
  </si>
  <si>
    <t>Steve Weaver</t>
  </si>
  <si>
    <t>Installs Scheduled</t>
  </si>
  <si>
    <t>Installs Completed</t>
  </si>
  <si>
    <t>Closeouts Submitted</t>
  </si>
  <si>
    <t>Gross Margin % — consider tracking monthly only rather than weekly, per your notes</t>
  </si>
  <si>
    <t>Recurring Revenue</t>
  </si>
  <si>
    <t>Zentility, HVAC/BAS service agreements, renewals, and the prescriptive pipeline</t>
  </si>
  <si>
    <t>New Service Contracts Sold</t>
  </si>
  <si>
    <t xml:space="preserve">John R. </t>
  </si>
  <si>
    <t>Active Recurring Revenue / MRR ($)</t>
  </si>
  <si>
    <t>HVAC Service Contracts (count)</t>
  </si>
  <si>
    <t>BAS Service Contracts (count)</t>
  </si>
  <si>
    <t>Consulting / Ongoing Services (count)</t>
  </si>
  <si>
    <t>Zentility Rate Checks Presented</t>
  </si>
  <si>
    <t>Zentility Contracts Signed</t>
  </si>
  <si>
    <t>Renewals Due</t>
  </si>
  <si>
    <t>Renewals Completed</t>
  </si>
  <si>
    <t>Recurring Revenue Billed / Received ($)</t>
  </si>
  <si>
    <t>EmPower MD Prescriptive HVAC Tune-Ups now has its own full priority section on the Tune-Up Factory tab (Demand through Cash) — tracked there instead of as a single row here.</t>
  </si>
  <si>
    <t>Aging &amp; Stalled Work</t>
  </si>
  <si>
    <t>What is HBS sitting on internally? Target is zero — this is controllable.</t>
  </si>
  <si>
    <t>Internal Response-Time Aging</t>
  </si>
  <si>
    <t>Item</t>
  </si>
  <si>
    <t>Max Acceptable</t>
  </si>
  <si>
    <t>Pre-Approvals Awaiting HBS Response &gt; 7 Days (All Programs)</t>
  </si>
  <si>
    <t>Closeouts Awaiting HBS Response &gt; 7 Days (All Programs)</t>
  </si>
  <si>
    <t>These count external-facing utility delays as normal; the 7-day threshold is HBS's own response time. Green = 0 outstanding, Yellow = 1-2, Red = 3+.</t>
  </si>
  <si>
    <t>Issues &amp; Actions</t>
  </si>
  <si>
    <t>Only Red KPIs land here — why it's red, what we're doing, who owns it, by when</t>
  </si>
  <si>
    <t>Date</t>
  </si>
  <si>
    <t>Area / KPI</t>
  </si>
  <si>
    <t>Why Is It Red?</t>
  </si>
  <si>
    <t>Corrective Action</t>
  </si>
  <si>
    <t>Due Date</t>
  </si>
  <si>
    <t xml:space="preserve">Prescriptive </t>
  </si>
  <si>
    <t xml:space="preserve">Lack of team to complete work </t>
  </si>
  <si>
    <t>We have 17 ready for close out and need eng to help close out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</si>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</sst>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\$#,##0;&quot;($&quot;#,##0\);\-"/>
    <numFmt numFmtId="165" formatCode="0%;\(0%\);\-"/>
    <numFmt numFmtId="166" formatCode="\$#,##0"/>
    <numFmt numFmtId="167" formatCode="_(* #,##0_);_(* \(#,##0\);_(* &quot;-&quot;??_);_(@_)"/>
  </numFmts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b/>
      <sz val="10"/>
      <color rgb="FF1F1F1F"/>
      <name val="Arial"/>
      <family val="2"/>
    </font>
    <font>
      <b/>
      <i/>
      <sz val="10"/>
      <color rgb="FFED7D31"/>
      <name val="Arial"/>
      <family val="2"/>
    </font>
    <font>
      <sz val="10"/>
      <name val="Arial"/>
    </font>
    <font>
      <sz val="10"/>
      <color rgb="FF0000FF"/>
      <name val="Arial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  <font>
      <sz val="11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5" fillId="9" borderId="1" xfId="0" applyFont="1" applyFill="1" applyBorder="1"/>
    <xf numFmtId="164" fontId="5" fillId="9" borderId="1" xfId="0" applyNumberFormat="1" applyFont="1" applyFill="1" applyBorder="1"/>
    <xf numFmtId="165" fontId="5" fillId="9" borderId="1" xfId="0" applyNumberFormat="1" applyFont="1" applyFill="1" applyBorder="1"/>
    <xf numFmtId="0" fontId="5" fillId="9" borderId="1" xfId="0" applyFont="1" applyFill="1" applyBorder="1" applyAlignment="1">
      <alignment horizontal="center"/>
    </xf>
    <xf numFmtId="0" fontId="11" fillId="0" borderId="1" xfId="0" applyFont="1" applyBorder="1"/>
    <xf numFmtId="0" fontId="11" fillId="9" borderId="1" xfId="0" applyFont="1" applyFill="1" applyBorder="1"/>
    <xf numFmtId="166" fontId="0" fillId="0" borderId="0" xfId="0" applyNumberFormat="1"/>
    <xf numFmtId="166" fontId="5" fillId="0" borderId="0" xfId="0" applyNumberFormat="1" applyFont="1"/>
    <xf numFmtId="0" fontId="6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1" fillId="9" borderId="1" xfId="0" applyNumberFormat="1" applyFont="1" applyFill="1" applyBorder="1"/>
    <xf numFmtId="0" fontId="1" fillId="9" borderId="1" xfId="0" applyFont="1" applyFill="1" applyBorder="1"/>
    <xf numFmtId="0" fontId="1" fillId="0" borderId="1" xfId="0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/>
    <xf numFmtId="3" fontId="1" fillId="0" borderId="1" xfId="0" applyNumberFormat="1" applyFont="1" applyBorder="1"/>
    <xf numFmtId="2" fontId="6" fillId="4" borderId="1" xfId="0" applyNumberFormat="1" applyFont="1" applyFill="1" applyBorder="1"/>
    <xf numFmtId="2" fontId="1" fillId="0" borderId="1" xfId="0" applyNumberFormat="1" applyFont="1" applyBorder="1"/>
    <xf numFmtId="1" fontId="1" fillId="0" borderId="1" xfId="0" applyNumberFormat="1" applyFont="1" applyBorder="1"/>
    <xf numFmtId="1" fontId="12" fillId="0" borderId="1" xfId="0" applyNumberFormat="1" applyFont="1" applyBorder="1"/>
    <xf numFmtId="167" fontId="1" fillId="0" borderId="1" xfId="0" applyNumberFormat="1" applyFont="1" applyBorder="1"/>
    <xf numFmtId="167" fontId="12" fillId="0" borderId="1" xfId="0" applyNumberFormat="1" applyFont="1" applyBorder="1"/>
    <xf numFmtId="3" fontId="12" fillId="0" borderId="1" xfId="0" applyNumberFormat="1" applyFont="1" applyBorder="1"/>
    <xf numFmtId="164" fontId="13" fillId="4" borderId="1" xfId="0" applyNumberFormat="1" applyFont="1" applyFill="1" applyBorder="1" applyAlignment="1">
      <alignment horizontal="center"/>
    </xf>
    <xf numFmtId="164" fontId="12" fillId="0" borderId="1" xfId="0" applyNumberFormat="1" applyFont="1" applyBorder="1"/>
    <xf numFmtId="8" fontId="14" fillId="0" borderId="0" xfId="0" applyNumberFormat="1" applyFont="1"/>
    <xf numFmtId="3" fontId="14" fillId="0" borderId="0" xfId="0" applyNumberFormat="1" applyFont="1"/>
    <xf numFmtId="16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/>
    </xf>
    <xf numFmtId="0" fontId="16" fillId="0" borderId="0" xfId="0" applyFont="1"/>
    <xf numFmtId="0" fontId="4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/>
  </cellXfs>
  <cellStyles count="2">
    <cellStyle name="Currency" xfId="1" builtinId="4"/>
    <cellStyle name="Normal" xfId="0" builtinId="0"/>
  </cellStyles>
  <dxfs count="59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37"/>
  <sheetViews>
    <sheetView showGridLines="0" topLeftCell="A26" zoomScaleNormal="100" workbookViewId="0">
      <selection sqref="A1:D1"/>
    </sheetView>
  </sheetViews>
  <sheetFormatPr defaultColWidth="8.5703125" defaultRowHeight="15"/>
  <cols>
    <col min="1" max="4" width="34" customWidth="1"/>
  </cols>
  <sheetData>
    <row r="1" spans="1:4" ht="27.75" customHeight="1">
      <c r="A1" s="46" t="s">
        <v>0</v>
      </c>
      <c r="B1" s="46"/>
      <c r="C1" s="46"/>
      <c r="D1" s="46"/>
    </row>
    <row r="2" spans="1:4">
      <c r="A2" s="47" t="s">
        <v>1</v>
      </c>
      <c r="B2" s="47"/>
      <c r="C2" s="47"/>
      <c r="D2" s="47"/>
    </row>
    <row r="4" spans="1:4" ht="19.5" customHeight="1">
      <c r="A4" s="45" t="s">
        <v>2</v>
      </c>
      <c r="B4" s="45"/>
      <c r="C4" s="45"/>
      <c r="D4" s="45"/>
    </row>
    <row r="5" spans="1:4" ht="60" customHeight="1">
      <c r="A5" s="49" t="s">
        <v>3</v>
      </c>
      <c r="B5" s="49"/>
      <c r="C5" s="49"/>
      <c r="D5" s="49"/>
    </row>
    <row r="6" spans="1:4">
      <c r="A6" s="49"/>
      <c r="B6" s="49"/>
      <c r="C6" s="49"/>
      <c r="D6" s="49"/>
    </row>
    <row r="7" spans="1:4">
      <c r="A7" s="49"/>
      <c r="B7" s="49"/>
      <c r="C7" s="49"/>
      <c r="D7" s="49"/>
    </row>
    <row r="9" spans="1:4" ht="19.5" customHeight="1">
      <c r="A9" s="45" t="s">
        <v>4</v>
      </c>
      <c r="B9" s="45"/>
      <c r="C9" s="45"/>
      <c r="D9" s="45"/>
    </row>
    <row r="10" spans="1:4">
      <c r="A10" s="1" t="s">
        <v>5</v>
      </c>
      <c r="B10" s="2">
        <v>4</v>
      </c>
      <c r="C10" s="1" t="s">
        <v>6</v>
      </c>
      <c r="D10" s="20" t="s">
        <v>7</v>
      </c>
    </row>
    <row r="12" spans="1:4" ht="19.5" customHeight="1">
      <c r="A12" s="45" t="s">
        <v>8</v>
      </c>
      <c r="B12" s="45"/>
      <c r="C12" s="45"/>
      <c r="D12" s="45"/>
    </row>
    <row r="13" spans="1:4" ht="15" customHeight="1">
      <c r="A13" s="3" t="s">
        <v>9</v>
      </c>
      <c r="B13" s="50" t="s">
        <v>10</v>
      </c>
      <c r="C13" s="50"/>
      <c r="D13" s="50"/>
    </row>
    <row r="14" spans="1:4" ht="15" customHeight="1">
      <c r="A14" s="4" t="s">
        <v>11</v>
      </c>
      <c r="B14" s="50" t="s">
        <v>12</v>
      </c>
      <c r="C14" s="50"/>
      <c r="D14" s="50"/>
    </row>
    <row r="15" spans="1:4" ht="15" customHeight="1">
      <c r="A15" s="5" t="s">
        <v>13</v>
      </c>
      <c r="B15" s="50" t="s">
        <v>14</v>
      </c>
      <c r="C15" s="50"/>
      <c r="D15" s="50"/>
    </row>
    <row r="17" spans="1:4" ht="19.5" customHeight="1">
      <c r="A17" s="45" t="s">
        <v>15</v>
      </c>
      <c r="B17" s="45"/>
      <c r="C17" s="45"/>
      <c r="D17" s="45"/>
    </row>
    <row r="18" spans="1:4" ht="15" customHeight="1">
      <c r="A18" s="1" t="s">
        <v>16</v>
      </c>
      <c r="B18" s="50" t="s">
        <v>17</v>
      </c>
      <c r="C18" s="50"/>
      <c r="D18" s="50"/>
    </row>
    <row r="19" spans="1:4" ht="15" customHeight="1">
      <c r="A19" s="1" t="s">
        <v>18</v>
      </c>
      <c r="B19" s="50" t="s">
        <v>19</v>
      </c>
      <c r="C19" s="50"/>
      <c r="D19" s="50"/>
    </row>
    <row r="20" spans="1:4" ht="15" customHeight="1">
      <c r="A20" s="1" t="s">
        <v>20</v>
      </c>
      <c r="B20" s="50" t="s">
        <v>21</v>
      </c>
      <c r="C20" s="50"/>
      <c r="D20" s="50"/>
    </row>
    <row r="22" spans="1:4" ht="19.5" customHeight="1">
      <c r="A22" s="45" t="s">
        <v>22</v>
      </c>
      <c r="B22" s="45"/>
      <c r="C22" s="45"/>
      <c r="D22" s="45"/>
    </row>
    <row r="23" spans="1:4">
      <c r="A23" s="52" t="s">
        <v>23</v>
      </c>
      <c r="B23" s="52"/>
      <c r="C23" s="52"/>
      <c r="D23" s="52"/>
    </row>
    <row r="24" spans="1:4">
      <c r="A24" s="52" t="s">
        <v>24</v>
      </c>
      <c r="B24" s="52"/>
      <c r="C24" s="52"/>
      <c r="D24" s="52"/>
    </row>
    <row r="25" spans="1:4">
      <c r="A25" s="52" t="s">
        <v>25</v>
      </c>
      <c r="B25" s="52"/>
      <c r="C25" s="52"/>
      <c r="D25" s="52"/>
    </row>
    <row r="26" spans="1:4">
      <c r="A26" s="52" t="s">
        <v>26</v>
      </c>
      <c r="B26" s="52"/>
      <c r="C26" s="52"/>
      <c r="D26" s="52"/>
    </row>
    <row r="27" spans="1:4">
      <c r="A27" s="52" t="s">
        <v>27</v>
      </c>
      <c r="B27" s="52"/>
      <c r="C27" s="52"/>
      <c r="D27" s="52"/>
    </row>
    <row r="28" spans="1:4">
      <c r="A28" s="52" t="s">
        <v>28</v>
      </c>
      <c r="B28" s="52"/>
      <c r="C28" s="52"/>
      <c r="D28" s="52"/>
    </row>
    <row r="29" spans="1:4">
      <c r="A29" s="52" t="s">
        <v>29</v>
      </c>
      <c r="B29" s="52"/>
      <c r="C29" s="52"/>
      <c r="D29" s="52"/>
    </row>
    <row r="30" spans="1:4">
      <c r="A30" s="52" t="s">
        <v>30</v>
      </c>
      <c r="B30" s="52"/>
      <c r="C30" s="52"/>
      <c r="D30" s="52"/>
    </row>
    <row r="32" spans="1:4" ht="19.5" customHeight="1">
      <c r="A32" s="45" t="s">
        <v>31</v>
      </c>
      <c r="B32" s="45"/>
      <c r="C32" s="45"/>
      <c r="D32" s="45"/>
    </row>
    <row r="33" spans="1:4" ht="27.75" customHeight="1">
      <c r="A33" s="49" t="s">
        <v>32</v>
      </c>
      <c r="B33" s="49"/>
      <c r="C33" s="49"/>
      <c r="D33" s="49"/>
    </row>
    <row r="34" spans="1:4" ht="27.75" customHeight="1">
      <c r="A34" s="49" t="s">
        <v>33</v>
      </c>
      <c r="B34" s="49"/>
      <c r="C34" s="49"/>
      <c r="D34" s="49"/>
    </row>
    <row r="35" spans="1:4" ht="27.75" customHeight="1">
      <c r="A35" s="49" t="s">
        <v>34</v>
      </c>
      <c r="B35" s="49"/>
      <c r="C35" s="49"/>
      <c r="D35" s="49"/>
    </row>
    <row r="36" spans="1:4" ht="27.75" customHeight="1">
      <c r="A36" s="49" t="s">
        <v>35</v>
      </c>
      <c r="B36" s="49"/>
      <c r="C36" s="49"/>
      <c r="D36" s="49"/>
    </row>
    <row r="37" spans="1:4" ht="27.75" customHeight="1">
      <c r="A37" s="49" t="s">
        <v>36</v>
      </c>
      <c r="B37" s="49"/>
      <c r="C37" s="49"/>
      <c r="D37" s="49"/>
    </row>
  </sheetData>
  <mergeCells count="28">
    <mergeCell ref="A1:D1"/>
    <mergeCell ref="A2:D2"/>
    <mergeCell ref="A4:D4"/>
    <mergeCell ref="A5:D7"/>
    <mergeCell ref="A9:D9"/>
    <mergeCell ref="A12:D12"/>
    <mergeCell ref="B13:D13"/>
    <mergeCell ref="B14:D14"/>
    <mergeCell ref="B15:D15"/>
    <mergeCell ref="A17:D17"/>
    <mergeCell ref="B18:D18"/>
    <mergeCell ref="B19:D19"/>
    <mergeCell ref="B20:D20"/>
    <mergeCell ref="A22:D22"/>
    <mergeCell ref="A23:D23"/>
    <mergeCell ref="A24:D24"/>
    <mergeCell ref="A25:D25"/>
    <mergeCell ref="A26:D26"/>
    <mergeCell ref="A27:D27"/>
    <mergeCell ref="A28:D28"/>
    <mergeCell ref="A35:D35"/>
    <mergeCell ref="A36:D36"/>
    <mergeCell ref="A37:D37"/>
    <mergeCell ref="A29:D29"/>
    <mergeCell ref="A30:D30"/>
    <mergeCell ref="A32:D32"/>
    <mergeCell ref="A33:D33"/>
    <mergeCell ref="A34:D3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L44"/>
  <sheetViews>
    <sheetView showGridLines="0" zoomScaleNormal="100" workbookViewId="0">
      <pane ySplit="4" topLeftCell="A5" activePane="bottomLeft" state="frozen"/>
      <selection pane="bottomLeft" activeCell="F22" sqref="F22"/>
    </sheetView>
  </sheetViews>
  <sheetFormatPr defaultColWidth="8.5703125" defaultRowHeight="15"/>
  <cols>
    <col min="1" max="1" width="50.140625" bestFit="1" customWidth="1"/>
    <col min="2" max="2" width="38.28515625" customWidth="1"/>
    <col min="3" max="4" width="13" customWidth="1"/>
    <col min="5" max="5" width="11.28515625" bestFit="1" customWidth="1"/>
    <col min="6" max="8" width="11" customWidth="1"/>
    <col min="9" max="9" width="13" customWidth="1"/>
    <col min="10" max="10" width="12" customWidth="1"/>
    <col min="11" max="12" width="11" customWidth="1"/>
  </cols>
  <sheetData>
    <row r="1" spans="1:12" ht="27.75" customHeight="1">
      <c r="A1" s="46" t="s">
        <v>37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s="47" t="s">
        <v>38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1:12" ht="19.5" customHeight="1">
      <c r="A4" s="45" t="s">
        <v>39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7.75" customHeight="1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</row>
    <row r="6" spans="1:12">
      <c r="A6" s="19" t="s">
        <v>52</v>
      </c>
      <c r="B6" s="19" t="s">
        <v>53</v>
      </c>
      <c r="C6" s="7">
        <v>800000</v>
      </c>
      <c r="D6" s="21">
        <f>IF(C6="","",C6/'Start Here'!$B$10)</f>
        <v>200000</v>
      </c>
      <c r="E6" s="21"/>
      <c r="F6" s="21"/>
      <c r="G6" s="21"/>
      <c r="H6" s="21"/>
      <c r="I6" s="21">
        <f>SUM(E6:H6)</f>
        <v>0</v>
      </c>
      <c r="J6" s="22">
        <f t="shared" ref="J6:J11" si="0">IF(OR(C6="",C6=0),"",I6/C6)</f>
        <v>0</v>
      </c>
      <c r="K6" s="19" t="str">
        <f t="shared" ref="K6:K11" si="1">IFERROR(LOOKUP(2,1/(E6:H6&lt;&gt;""),E6:H6),"")</f>
        <v/>
      </c>
      <c r="L6" s="8" t="str">
        <f t="shared" ref="L6:L11" si="2">IF(D6="","Set Goal",IF(K6="","No Data",IF(K6&gt;=D6,"GREEN",IF(K6&gt;=0.85*D6,"YELLOW","RED"))))</f>
        <v>No Data</v>
      </c>
    </row>
    <row r="7" spans="1:12">
      <c r="A7" s="19" t="s">
        <v>54</v>
      </c>
      <c r="B7" s="19" t="s">
        <v>55</v>
      </c>
      <c r="C7" s="7">
        <v>50000</v>
      </c>
      <c r="D7" s="21">
        <f>IF(C7="","",C7/'Start Here'!$B$10)</f>
        <v>12500</v>
      </c>
      <c r="E7" s="21"/>
      <c r="F7" s="21"/>
      <c r="G7" s="21"/>
      <c r="H7" s="21"/>
      <c r="I7" s="21">
        <f>SUM(E7:H7)</f>
        <v>0</v>
      </c>
      <c r="J7" s="22">
        <f t="shared" si="0"/>
        <v>0</v>
      </c>
      <c r="K7" s="19" t="str">
        <f t="shared" si="1"/>
        <v/>
      </c>
      <c r="L7" s="8" t="str">
        <f t="shared" si="2"/>
        <v>No Data</v>
      </c>
    </row>
    <row r="8" spans="1:12">
      <c r="A8" s="19" t="s">
        <v>56</v>
      </c>
      <c r="B8" s="19" t="s">
        <v>55</v>
      </c>
      <c r="C8" s="7">
        <v>45000</v>
      </c>
      <c r="D8" s="21">
        <f>IF(C8="","",C8/'Start Here'!$B$10)</f>
        <v>11250</v>
      </c>
      <c r="E8" s="21"/>
      <c r="F8" s="21"/>
      <c r="G8" s="21"/>
      <c r="H8" s="21"/>
      <c r="I8" s="21">
        <f>SUM(E8:H8)</f>
        <v>0</v>
      </c>
      <c r="J8" s="22">
        <f t="shared" si="0"/>
        <v>0</v>
      </c>
      <c r="K8" s="19" t="str">
        <f t="shared" si="1"/>
        <v/>
      </c>
      <c r="L8" s="8" t="str">
        <f t="shared" si="2"/>
        <v>No Data</v>
      </c>
    </row>
    <row r="9" spans="1:12">
      <c r="A9" s="19" t="s">
        <v>57</v>
      </c>
      <c r="B9" s="19" t="s">
        <v>55</v>
      </c>
      <c r="C9" s="7">
        <v>105000</v>
      </c>
      <c r="D9" s="21">
        <f>IF(C9="","",C9/'Start Here'!$B$10)</f>
        <v>26250</v>
      </c>
      <c r="E9" s="21">
        <v>720</v>
      </c>
      <c r="F9" s="21"/>
      <c r="G9" s="21"/>
      <c r="H9" s="21"/>
      <c r="I9" s="21">
        <f>SUM(E9:H9)</f>
        <v>720</v>
      </c>
      <c r="J9" s="22">
        <f t="shared" si="0"/>
        <v>6.8571428571428568E-3</v>
      </c>
      <c r="K9" s="19">
        <f t="shared" si="1"/>
        <v>720</v>
      </c>
      <c r="L9" s="8" t="str">
        <f t="shared" si="2"/>
        <v>RED</v>
      </c>
    </row>
    <row r="10" spans="1:12">
      <c r="A10" s="19" t="s">
        <v>58</v>
      </c>
      <c r="B10" s="19" t="s">
        <v>55</v>
      </c>
      <c r="C10" s="7">
        <v>600000</v>
      </c>
      <c r="D10" s="21">
        <f>IF(C10="","",C10/'Start Here'!$B$10)</f>
        <v>150000</v>
      </c>
      <c r="E10" s="21"/>
      <c r="F10" s="21"/>
      <c r="G10" s="21"/>
      <c r="H10" s="21"/>
      <c r="I10" s="21">
        <f>SUM(E10:H10)</f>
        <v>0</v>
      </c>
      <c r="J10" s="22">
        <f t="shared" si="0"/>
        <v>0</v>
      </c>
      <c r="K10" s="19" t="str">
        <f t="shared" si="1"/>
        <v/>
      </c>
      <c r="L10" s="8" t="str">
        <f t="shared" si="2"/>
        <v>No Data</v>
      </c>
    </row>
    <row r="11" spans="1:12">
      <c r="A11" s="9" t="s">
        <v>59</v>
      </c>
      <c r="B11" s="9" t="s">
        <v>60</v>
      </c>
      <c r="C11" s="10">
        <f>SUM(C6:C10)</f>
        <v>1600000</v>
      </c>
      <c r="D11" s="10">
        <f>IF(C11="","",C11/'Start Here'!$B$10)</f>
        <v>400000</v>
      </c>
      <c r="E11" s="23">
        <f>SUM(E6:E10)</f>
        <v>720</v>
      </c>
      <c r="F11" s="23">
        <f>SUM(F6:F10)</f>
        <v>0</v>
      </c>
      <c r="G11" s="23">
        <f>SUM(G6:G10)</f>
        <v>0</v>
      </c>
      <c r="H11" s="23">
        <f>SUM(H6:H10)</f>
        <v>0</v>
      </c>
      <c r="I11" s="10">
        <f>SUM(I6:I10)</f>
        <v>720</v>
      </c>
      <c r="J11" s="11">
        <f t="shared" si="0"/>
        <v>4.4999999999999999E-4</v>
      </c>
      <c r="K11" s="24">
        <f t="shared" si="1"/>
        <v>0</v>
      </c>
      <c r="L11" s="12" t="str">
        <f t="shared" si="2"/>
        <v>RED</v>
      </c>
    </row>
    <row r="13" spans="1:12" ht="19.5" customHeight="1">
      <c r="A13" s="45" t="s">
        <v>61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ht="27.75" customHeight="1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45</v>
      </c>
      <c r="G14" s="6" t="s">
        <v>46</v>
      </c>
      <c r="H14" s="6" t="s">
        <v>47</v>
      </c>
      <c r="I14" s="6" t="s">
        <v>48</v>
      </c>
      <c r="J14" s="6" t="s">
        <v>49</v>
      </c>
      <c r="K14" s="6" t="s">
        <v>50</v>
      </c>
      <c r="L14" s="6" t="s">
        <v>51</v>
      </c>
    </row>
    <row r="15" spans="1:12">
      <c r="A15" s="19" t="s">
        <v>62</v>
      </c>
      <c r="B15" s="13" t="s">
        <v>63</v>
      </c>
      <c r="C15" s="7">
        <v>86700</v>
      </c>
      <c r="D15" s="21">
        <f>IF(C15="","",C15/'Start Here'!$B$10)</f>
        <v>21675</v>
      </c>
      <c r="E15" s="38">
        <v>12750</v>
      </c>
      <c r="F15" s="21">
        <v>0</v>
      </c>
      <c r="G15" s="21"/>
      <c r="H15" s="21"/>
      <c r="I15" s="21">
        <f t="shared" ref="I15:I31" si="3">SUM(E15:H15)</f>
        <v>12750</v>
      </c>
      <c r="J15" s="22">
        <f t="shared" ref="J15:J32" si="4">IF(OR(C15="",C15=0),"",I15/C15)</f>
        <v>0.14705882352941177</v>
      </c>
      <c r="K15" s="19">
        <f t="shared" ref="K15:K32" si="5">IFERROR(LOOKUP(2,1/(E15:H15&lt;&gt;""),E15:H15),"")</f>
        <v>0</v>
      </c>
      <c r="L15" s="8" t="str">
        <f t="shared" ref="L15:L32" si="6">IF(D15="","Set Goal",IF(K15="","No Data",IF(K15&gt;=D15,"GREEN",IF(K15&gt;=0.85*D15,"YELLOW","RED"))))</f>
        <v>RED</v>
      </c>
    </row>
    <row r="16" spans="1:12">
      <c r="A16" s="19" t="s">
        <v>64</v>
      </c>
      <c r="B16" s="13" t="s">
        <v>63</v>
      </c>
      <c r="C16" s="7">
        <v>300000</v>
      </c>
      <c r="D16" s="21">
        <f>IF(C16="","",C16/'Start Here'!$B$10)</f>
        <v>75000</v>
      </c>
      <c r="E16" s="38">
        <v>10798</v>
      </c>
      <c r="F16" s="21">
        <v>64334</v>
      </c>
      <c r="G16" s="21"/>
      <c r="H16" s="21"/>
      <c r="I16" s="21">
        <f t="shared" si="3"/>
        <v>75132</v>
      </c>
      <c r="J16" s="22">
        <f t="shared" si="4"/>
        <v>0.25044</v>
      </c>
      <c r="K16" s="19">
        <f t="shared" si="5"/>
        <v>64334</v>
      </c>
      <c r="L16" s="8" t="str">
        <f t="shared" si="6"/>
        <v>YELLOW</v>
      </c>
    </row>
    <row r="17" spans="1:12">
      <c r="A17" s="19" t="s">
        <v>65</v>
      </c>
      <c r="B17" s="13" t="s">
        <v>63</v>
      </c>
      <c r="C17" s="7">
        <v>240000</v>
      </c>
      <c r="D17" s="21">
        <f>IF(C17="","",C17/'Start Here'!$B$10)</f>
        <v>60000</v>
      </c>
      <c r="E17" s="21">
        <v>28901</v>
      </c>
      <c r="F17" s="21">
        <v>187145</v>
      </c>
      <c r="G17" s="21"/>
      <c r="H17" s="21"/>
      <c r="I17" s="21">
        <f t="shared" si="3"/>
        <v>216046</v>
      </c>
      <c r="J17" s="22">
        <f t="shared" si="4"/>
        <v>0.90019166666666661</v>
      </c>
      <c r="K17" s="19">
        <f t="shared" si="5"/>
        <v>187145</v>
      </c>
      <c r="L17" s="8" t="str">
        <f t="shared" si="6"/>
        <v>GREEN</v>
      </c>
    </row>
    <row r="18" spans="1:12">
      <c r="A18" s="19" t="s">
        <v>66</v>
      </c>
      <c r="B18" s="13" t="s">
        <v>63</v>
      </c>
      <c r="C18" s="7">
        <v>240000</v>
      </c>
      <c r="D18" s="21">
        <f>IF(C18="","",C18/'Start Here'!$B$10)</f>
        <v>60000</v>
      </c>
      <c r="E18" s="21">
        <v>0</v>
      </c>
      <c r="F18" s="21">
        <v>21547</v>
      </c>
      <c r="G18" s="21"/>
      <c r="H18" s="21"/>
      <c r="I18" s="21">
        <f t="shared" si="3"/>
        <v>21547</v>
      </c>
      <c r="J18" s="22">
        <f t="shared" si="4"/>
        <v>8.977916666666666E-2</v>
      </c>
      <c r="K18" s="19">
        <f t="shared" si="5"/>
        <v>21547</v>
      </c>
      <c r="L18" s="8" t="str">
        <f t="shared" si="6"/>
        <v>RED</v>
      </c>
    </row>
    <row r="19" spans="1:12">
      <c r="A19" s="19" t="s">
        <v>67</v>
      </c>
      <c r="B19" s="13" t="s">
        <v>63</v>
      </c>
      <c r="C19" s="7">
        <v>60000</v>
      </c>
      <c r="D19" s="21">
        <f>IF(C19="","",C19/'Start Here'!$B$10)</f>
        <v>15000</v>
      </c>
      <c r="E19" s="39">
        <v>33940</v>
      </c>
      <c r="F19" s="21">
        <v>0</v>
      </c>
      <c r="G19" s="21"/>
      <c r="H19" s="21"/>
      <c r="I19" s="21">
        <f t="shared" si="3"/>
        <v>33940</v>
      </c>
      <c r="J19" s="22">
        <f t="shared" si="4"/>
        <v>0.56566666666666665</v>
      </c>
      <c r="K19" s="19">
        <f t="shared" si="5"/>
        <v>0</v>
      </c>
      <c r="L19" s="8" t="str">
        <f t="shared" si="6"/>
        <v>RED</v>
      </c>
    </row>
    <row r="20" spans="1:12">
      <c r="A20" s="19" t="s">
        <v>68</v>
      </c>
      <c r="B20" s="13" t="s">
        <v>63</v>
      </c>
      <c r="C20" s="7">
        <v>5000</v>
      </c>
      <c r="D20" s="21">
        <f>IF(C20="","",C20/'Start Here'!$B$10)</f>
        <v>1250</v>
      </c>
      <c r="E20" s="21">
        <v>0</v>
      </c>
      <c r="F20" s="21">
        <v>0</v>
      </c>
      <c r="G20" s="21"/>
      <c r="H20" s="21"/>
      <c r="I20" s="21">
        <f t="shared" si="3"/>
        <v>0</v>
      </c>
      <c r="J20" s="22">
        <f t="shared" si="4"/>
        <v>0</v>
      </c>
      <c r="K20" s="19">
        <f t="shared" si="5"/>
        <v>0</v>
      </c>
      <c r="L20" s="8" t="str">
        <f t="shared" si="6"/>
        <v>RED</v>
      </c>
    </row>
    <row r="21" spans="1:12">
      <c r="A21" s="19" t="s">
        <v>69</v>
      </c>
      <c r="B21" s="13" t="s">
        <v>63</v>
      </c>
      <c r="C21" s="7">
        <v>2500</v>
      </c>
      <c r="D21" s="21">
        <f>IF(C21="","",C21/'Start Here'!$B$10)</f>
        <v>625</v>
      </c>
      <c r="E21" s="21">
        <v>0</v>
      </c>
      <c r="F21" s="21">
        <v>0</v>
      </c>
      <c r="G21" s="21"/>
      <c r="H21" s="21"/>
      <c r="I21" s="21">
        <f t="shared" si="3"/>
        <v>0</v>
      </c>
      <c r="J21" s="22">
        <f t="shared" si="4"/>
        <v>0</v>
      </c>
      <c r="K21" s="19">
        <f t="shared" si="5"/>
        <v>0</v>
      </c>
      <c r="L21" s="8" t="str">
        <f t="shared" si="6"/>
        <v>RED</v>
      </c>
    </row>
    <row r="22" spans="1:12">
      <c r="A22" s="19" t="s">
        <v>70</v>
      </c>
      <c r="B22" s="13" t="s">
        <v>63</v>
      </c>
      <c r="C22" s="7">
        <v>49000</v>
      </c>
      <c r="D22" s="21">
        <f>IF(C22="","",C22/'Start Here'!$B$10)</f>
        <v>12250</v>
      </c>
      <c r="E22" s="21">
        <v>0</v>
      </c>
      <c r="F22" s="21">
        <v>0</v>
      </c>
      <c r="G22" s="21"/>
      <c r="H22" s="21"/>
      <c r="I22" s="21">
        <f t="shared" si="3"/>
        <v>0</v>
      </c>
      <c r="J22" s="22">
        <f t="shared" si="4"/>
        <v>0</v>
      </c>
      <c r="K22" s="19">
        <f t="shared" si="5"/>
        <v>0</v>
      </c>
      <c r="L22" s="8" t="str">
        <f t="shared" si="6"/>
        <v>RED</v>
      </c>
    </row>
    <row r="23" spans="1:12">
      <c r="A23" s="19" t="s">
        <v>71</v>
      </c>
      <c r="B23" s="13" t="s">
        <v>63</v>
      </c>
      <c r="C23" s="7">
        <v>25000</v>
      </c>
      <c r="D23" s="21">
        <f>IF(C23="","",C23/'Start Here'!$B$10)</f>
        <v>6250</v>
      </c>
      <c r="E23" s="21">
        <v>0</v>
      </c>
      <c r="F23" s="21">
        <v>0</v>
      </c>
      <c r="G23" s="21"/>
      <c r="H23" s="21"/>
      <c r="I23" s="21">
        <f t="shared" si="3"/>
        <v>0</v>
      </c>
      <c r="J23" s="22">
        <f t="shared" si="4"/>
        <v>0</v>
      </c>
      <c r="K23" s="19">
        <f t="shared" si="5"/>
        <v>0</v>
      </c>
      <c r="L23" s="8" t="str">
        <f t="shared" si="6"/>
        <v>RED</v>
      </c>
    </row>
    <row r="24" spans="1:12">
      <c r="A24" s="19" t="s">
        <v>58</v>
      </c>
      <c r="B24" s="13" t="s">
        <v>63</v>
      </c>
      <c r="C24" s="7">
        <v>300000</v>
      </c>
      <c r="D24" s="21">
        <f>IF(C24="","",C24/'Start Here'!$B$10)</f>
        <v>75000</v>
      </c>
      <c r="E24" s="21">
        <v>0</v>
      </c>
      <c r="F24" s="21">
        <v>0</v>
      </c>
      <c r="G24" s="21"/>
      <c r="H24" s="21"/>
      <c r="I24" s="21">
        <f t="shared" si="3"/>
        <v>0</v>
      </c>
      <c r="J24" s="22">
        <f t="shared" si="4"/>
        <v>0</v>
      </c>
      <c r="K24" s="19">
        <f t="shared" si="5"/>
        <v>0</v>
      </c>
      <c r="L24" s="8" t="str">
        <f t="shared" si="6"/>
        <v>RED</v>
      </c>
    </row>
    <row r="25" spans="1:12">
      <c r="A25" s="19" t="s">
        <v>72</v>
      </c>
      <c r="B25" s="13" t="s">
        <v>63</v>
      </c>
      <c r="C25" s="7">
        <v>150000</v>
      </c>
      <c r="D25" s="21">
        <f>IF(C25="","",C25/'Start Here'!$B$10)</f>
        <v>37500</v>
      </c>
      <c r="E25" s="21">
        <v>4500</v>
      </c>
      <c r="F25" s="21">
        <v>4800</v>
      </c>
      <c r="G25" s="21"/>
      <c r="H25" s="21"/>
      <c r="I25" s="21">
        <f t="shared" si="3"/>
        <v>9300</v>
      </c>
      <c r="J25" s="22">
        <f t="shared" si="4"/>
        <v>6.2E-2</v>
      </c>
      <c r="K25" s="19">
        <f t="shared" si="5"/>
        <v>4800</v>
      </c>
      <c r="L25" s="8" t="str">
        <f t="shared" si="6"/>
        <v>RED</v>
      </c>
    </row>
    <row r="26" spans="1:12">
      <c r="A26" s="19" t="s">
        <v>54</v>
      </c>
      <c r="B26" s="13" t="s">
        <v>63</v>
      </c>
      <c r="C26" s="7">
        <v>75000</v>
      </c>
      <c r="D26" s="21">
        <f>IF(C26="","",C26/'Start Here'!$B$10)</f>
        <v>18750</v>
      </c>
      <c r="E26" s="21">
        <v>0</v>
      </c>
      <c r="F26" s="21">
        <v>0</v>
      </c>
      <c r="G26" s="21"/>
      <c r="H26" s="21"/>
      <c r="I26" s="21">
        <f t="shared" si="3"/>
        <v>0</v>
      </c>
      <c r="J26" s="22">
        <f t="shared" si="4"/>
        <v>0</v>
      </c>
      <c r="K26" s="19">
        <f t="shared" si="5"/>
        <v>0</v>
      </c>
      <c r="L26" s="8" t="str">
        <f t="shared" si="6"/>
        <v>RED</v>
      </c>
    </row>
    <row r="27" spans="1:12">
      <c r="A27" s="19" t="s">
        <v>73</v>
      </c>
      <c r="B27" s="13" t="s">
        <v>63</v>
      </c>
      <c r="C27" s="7">
        <v>80000</v>
      </c>
      <c r="D27" s="21">
        <f>IF(C27="","",C27/'Start Here'!$B$10)</f>
        <v>20000</v>
      </c>
      <c r="E27" s="21">
        <v>0</v>
      </c>
      <c r="F27" s="21">
        <v>27040</v>
      </c>
      <c r="G27" s="21"/>
      <c r="H27" s="21"/>
      <c r="I27" s="21">
        <f t="shared" si="3"/>
        <v>27040</v>
      </c>
      <c r="J27" s="22">
        <f t="shared" si="4"/>
        <v>0.33800000000000002</v>
      </c>
      <c r="K27" s="19">
        <f t="shared" si="5"/>
        <v>27040</v>
      </c>
      <c r="L27" s="8" t="str">
        <f t="shared" si="6"/>
        <v>GREEN</v>
      </c>
    </row>
    <row r="28" spans="1:12">
      <c r="A28" s="19" t="s">
        <v>56</v>
      </c>
      <c r="B28" s="13" t="s">
        <v>63</v>
      </c>
      <c r="C28" s="7">
        <v>35000</v>
      </c>
      <c r="D28" s="21">
        <f>IF(C28="","",C28/'Start Here'!$B$10)</f>
        <v>8750</v>
      </c>
      <c r="E28" s="21">
        <v>4550</v>
      </c>
      <c r="F28" s="21">
        <v>550</v>
      </c>
      <c r="G28" s="21"/>
      <c r="H28" s="21"/>
      <c r="I28" s="21">
        <f t="shared" si="3"/>
        <v>5100</v>
      </c>
      <c r="J28" s="22">
        <f t="shared" si="4"/>
        <v>0.14571428571428571</v>
      </c>
      <c r="K28" s="19">
        <f t="shared" si="5"/>
        <v>550</v>
      </c>
      <c r="L28" s="8" t="str">
        <f t="shared" si="6"/>
        <v>RED</v>
      </c>
    </row>
    <row r="29" spans="1:12">
      <c r="A29" s="19" t="s">
        <v>74</v>
      </c>
      <c r="B29" s="13" t="s">
        <v>63</v>
      </c>
      <c r="C29" s="7">
        <v>2500</v>
      </c>
      <c r="D29" s="21">
        <f>IF(C29="","",C29/'Start Here'!$B$10)</f>
        <v>625</v>
      </c>
      <c r="E29" s="21">
        <v>0</v>
      </c>
      <c r="F29" s="21">
        <v>0</v>
      </c>
      <c r="G29" s="21"/>
      <c r="H29" s="21"/>
      <c r="I29" s="21">
        <f t="shared" si="3"/>
        <v>0</v>
      </c>
      <c r="J29" s="22">
        <f t="shared" si="4"/>
        <v>0</v>
      </c>
      <c r="K29" s="19">
        <f t="shared" si="5"/>
        <v>0</v>
      </c>
      <c r="L29" s="8" t="str">
        <f t="shared" si="6"/>
        <v>RED</v>
      </c>
    </row>
    <row r="30" spans="1:12">
      <c r="A30" s="19" t="s">
        <v>75</v>
      </c>
      <c r="B30" s="13" t="s">
        <v>63</v>
      </c>
      <c r="C30" s="7">
        <v>2500</v>
      </c>
      <c r="D30" s="21">
        <f>IF(C30="","",C30/'Start Here'!$B$10)</f>
        <v>625</v>
      </c>
      <c r="E30" s="21">
        <v>0</v>
      </c>
      <c r="F30" s="21">
        <v>0</v>
      </c>
      <c r="G30" s="21"/>
      <c r="H30" s="21"/>
      <c r="I30" s="21">
        <f t="shared" si="3"/>
        <v>0</v>
      </c>
      <c r="J30" s="22">
        <f t="shared" si="4"/>
        <v>0</v>
      </c>
      <c r="K30" s="19">
        <f t="shared" si="5"/>
        <v>0</v>
      </c>
      <c r="L30" s="8" t="str">
        <f t="shared" si="6"/>
        <v>RED</v>
      </c>
    </row>
    <row r="31" spans="1:12">
      <c r="A31" s="19" t="s">
        <v>76</v>
      </c>
      <c r="B31" s="13" t="s">
        <v>63</v>
      </c>
      <c r="C31" s="7">
        <v>10000</v>
      </c>
      <c r="D31" s="21">
        <f>IF(C31="","",C31/'Start Here'!$B$10)</f>
        <v>2500</v>
      </c>
      <c r="E31" s="21">
        <v>0</v>
      </c>
      <c r="F31" s="21">
        <v>0</v>
      </c>
      <c r="G31" s="21"/>
      <c r="H31" s="21"/>
      <c r="I31" s="21">
        <f t="shared" si="3"/>
        <v>0</v>
      </c>
      <c r="J31" s="22">
        <f t="shared" si="4"/>
        <v>0</v>
      </c>
      <c r="K31" s="19">
        <f t="shared" si="5"/>
        <v>0</v>
      </c>
      <c r="L31" s="8" t="str">
        <f t="shared" si="6"/>
        <v>RED</v>
      </c>
    </row>
    <row r="32" spans="1:12">
      <c r="A32" s="9" t="s">
        <v>77</v>
      </c>
      <c r="B32" s="14" t="s">
        <v>63</v>
      </c>
      <c r="C32" s="10">
        <v>1668200</v>
      </c>
      <c r="D32" s="10">
        <f>IF(C32="","",C32/'Start Here'!$B$10)</f>
        <v>417050</v>
      </c>
      <c r="E32" s="23">
        <f>SUM(E15:E31)</f>
        <v>95439</v>
      </c>
      <c r="F32" s="23">
        <f>SUM(F15:F31)</f>
        <v>305416</v>
      </c>
      <c r="G32" s="23">
        <f>SUM(G15:G31)</f>
        <v>0</v>
      </c>
      <c r="H32" s="23">
        <f>SUM(H15:H31)</f>
        <v>0</v>
      </c>
      <c r="I32" s="10">
        <f>SUM(I15:I31)</f>
        <v>400855</v>
      </c>
      <c r="J32" s="11">
        <f t="shared" si="4"/>
        <v>0.24029193142309074</v>
      </c>
      <c r="K32" s="24">
        <f t="shared" si="5"/>
        <v>0</v>
      </c>
      <c r="L32" s="12" t="str">
        <f t="shared" si="6"/>
        <v>RED</v>
      </c>
    </row>
    <row r="33" spans="1:12">
      <c r="A33" s="20" t="s">
        <v>78</v>
      </c>
      <c r="C33" s="15">
        <f>SUM(C15:C31)</f>
        <v>1663200</v>
      </c>
    </row>
    <row r="34" spans="1:12">
      <c r="A34" s="20" t="s">
        <v>79</v>
      </c>
      <c r="C34" s="16">
        <f>C32-C33</f>
        <v>5000</v>
      </c>
    </row>
    <row r="36" spans="1:12" ht="19.5" customHeight="1">
      <c r="A36" s="45" t="s">
        <v>80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1:12" ht="27.75" customHeight="1">
      <c r="A37" s="6" t="s">
        <v>40</v>
      </c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  <c r="H37" s="6" t="s">
        <v>47</v>
      </c>
      <c r="I37" s="6" t="s">
        <v>48</v>
      </c>
      <c r="J37" s="6" t="s">
        <v>49</v>
      </c>
      <c r="K37" s="6" t="s">
        <v>50</v>
      </c>
      <c r="L37" s="6" t="s">
        <v>51</v>
      </c>
    </row>
    <row r="38" spans="1:12">
      <c r="A38" s="19" t="s">
        <v>81</v>
      </c>
      <c r="B38" s="19" t="s">
        <v>55</v>
      </c>
      <c r="C38" s="21">
        <f>C11</f>
        <v>1600000</v>
      </c>
      <c r="D38" s="21">
        <f>IF(C38="","",C38/'Start Here'!$B$10)</f>
        <v>400000</v>
      </c>
      <c r="E38" s="21">
        <v>130507.37</v>
      </c>
      <c r="F38" s="21">
        <v>270601.2</v>
      </c>
      <c r="G38" s="21"/>
      <c r="H38" s="21"/>
      <c r="I38" s="21">
        <f>SUM(E38:H38)</f>
        <v>401108.57</v>
      </c>
      <c r="J38" s="22">
        <f>IF(OR(C38="",C38=0),"",I38/C38)</f>
        <v>0.25069285624999998</v>
      </c>
      <c r="K38" s="19">
        <f>IFERROR(LOOKUP(2,1/(E38:H38&lt;&gt;""),E38:H38),"")</f>
        <v>270601.2</v>
      </c>
      <c r="L38" s="8" t="str">
        <f>IF(D38="","Set Goal",IF(K38="","No Data",IF(K38&gt;=D38,"GREEN",IF(K38&gt;=0.85*D38,"YELLOW","RED"))))</f>
        <v>RED</v>
      </c>
    </row>
    <row r="41" spans="1:12" ht="19.5" customHeight="1">
      <c r="A41" s="45" t="s">
        <v>82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spans="1:12" ht="27.75" customHeight="1">
      <c r="A42" s="6" t="s">
        <v>40</v>
      </c>
      <c r="B42" s="6" t="s">
        <v>41</v>
      </c>
      <c r="C42" s="6" t="s">
        <v>42</v>
      </c>
      <c r="D42" s="6" t="s">
        <v>43</v>
      </c>
      <c r="E42" s="6" t="s">
        <v>44</v>
      </c>
      <c r="F42" s="6" t="s">
        <v>45</v>
      </c>
      <c r="G42" s="6" t="s">
        <v>46</v>
      </c>
      <c r="H42" s="6" t="s">
        <v>47</v>
      </c>
      <c r="I42" s="6" t="s">
        <v>48</v>
      </c>
      <c r="J42" s="6" t="s">
        <v>49</v>
      </c>
      <c r="K42" s="6" t="s">
        <v>50</v>
      </c>
      <c r="L42" s="6" t="s">
        <v>51</v>
      </c>
    </row>
    <row r="43" spans="1:12">
      <c r="A43" s="19" t="s">
        <v>83</v>
      </c>
      <c r="B43" s="19" t="s">
        <v>84</v>
      </c>
      <c r="C43" s="7"/>
      <c r="D43" s="21" t="str">
        <f>IF(C43="","",C43/'Start Here'!$B$10)</f>
        <v/>
      </c>
      <c r="E43" s="21">
        <f>SUM('Tune-Up Factory'!E8,'Tune-Up Factory'!E19,'Tune-Up Factory'!E33,'Tune-Up Factory'!E44,'Tune-Up Factory'!E55,'Tune-Up Factory'!E66,'Tune-Up Factory'!E80,'Tune-Up Factory'!E93)</f>
        <v>41021</v>
      </c>
      <c r="F43" s="21">
        <f>SUM('Tune-Up Factory'!F8,'Tune-Up Factory'!F19,'Tune-Up Factory'!F33,'Tune-Up Factory'!F44,'Tune-Up Factory'!F55,'Tune-Up Factory'!F66,'Tune-Up Factory'!F80,'Tune-Up Factory'!F93)</f>
        <v>7440</v>
      </c>
      <c r="G43" s="21">
        <f>SUM('Tune-Up Factory'!G8,'Tune-Up Factory'!G19,'Tune-Up Factory'!G33,'Tune-Up Factory'!G44,'Tune-Up Factory'!G55,'Tune-Up Factory'!G66,'Tune-Up Factory'!G80,'Tune-Up Factory'!G93)</f>
        <v>0</v>
      </c>
      <c r="H43" s="21">
        <f>SUM('Tune-Up Factory'!H8,'Tune-Up Factory'!H19,'Tune-Up Factory'!H33,'Tune-Up Factory'!H44,'Tune-Up Factory'!H55,'Tune-Up Factory'!H66,'Tune-Up Factory'!H80,'Tune-Up Factory'!H93)</f>
        <v>0</v>
      </c>
      <c r="I43" s="21">
        <f>SUM(E43:H43)</f>
        <v>48461</v>
      </c>
      <c r="J43" s="22" t="str">
        <f>IF(OR(C43="",C43=0),"",I43/C43)</f>
        <v/>
      </c>
      <c r="K43" s="19">
        <f>IFERROR(LOOKUP(2,1/(E43:H43&lt;&gt;""),E43:H43),"")</f>
        <v>0</v>
      </c>
      <c r="L43" s="8" t="str">
        <f>IF(D43="","Set Goal",IF(K43="","No Data",IF(K43&gt;=D43,"GREEN",IF(K43&gt;=0.85*D43,"YELLOW","RED"))))</f>
        <v>Set Goal</v>
      </c>
    </row>
    <row r="44" spans="1:12">
      <c r="A44" s="19" t="s">
        <v>85</v>
      </c>
      <c r="B44" s="19" t="s">
        <v>84</v>
      </c>
      <c r="C44" s="7"/>
      <c r="D44" s="21" t="str">
        <f>IF(C44="","",C44/'Start Here'!$B$10)</f>
        <v/>
      </c>
      <c r="E44" s="21" t="e">
        <f>SUM('Tune-Up Factory'!E10,'Tune-Up Factory'!E21,'Tune-Up Factory'!E35,'Tune-Up Factory'!#REF!,'Tune-Up Factory'!E57,'Tune-Up Factory'!E68,'Tune-Up Factory'!E82,'Tune-Up Factory'!E95)</f>
        <v>#REF!</v>
      </c>
      <c r="F44" s="21">
        <f>SUM('Tune-Up Factory'!G10,'Tune-Up Factory'!F21,'Tune-Up Factory'!F35,'Tune-Up Factory'!F46,'Tune-Up Factory'!F57,'Tune-Up Factory'!F68,'Tune-Up Factory'!F82,'Tune-Up Factory'!F95)</f>
        <v>207684</v>
      </c>
      <c r="G44" s="21" t="e">
        <f>SUM('Tune-Up Factory'!#REF!,'Tune-Up Factory'!G21,'Tune-Up Factory'!G35,'Tune-Up Factory'!G46,'Tune-Up Factory'!G57,'Tune-Up Factory'!G68,'Tune-Up Factory'!G82,'Tune-Up Factory'!G95)</f>
        <v>#REF!</v>
      </c>
      <c r="H44" s="21">
        <f>SUM('Tune-Up Factory'!H10,'Tune-Up Factory'!H21,'Tune-Up Factory'!H35,'Tune-Up Factory'!H46,'Tune-Up Factory'!H57,'Tune-Up Factory'!H68,'Tune-Up Factory'!H82,'Tune-Up Factory'!H95)</f>
        <v>0</v>
      </c>
      <c r="I44" s="21" t="e">
        <f>SUM(E44:H44)</f>
        <v>#REF!</v>
      </c>
      <c r="J44" s="22" t="str">
        <f>IF(OR(C44="",C44=0),"",I44/C44)</f>
        <v/>
      </c>
      <c r="K44" s="19">
        <f>IFERROR(LOOKUP(2,1/(E44:H44&lt;&gt;""),E44:H44),"")</f>
        <v>0</v>
      </c>
      <c r="L44" s="8" t="str">
        <f>IF(D44="","Set Goal",IF(K44="","No Data",IF(K44&gt;=D44,"GREEN",IF(K44&gt;=0.85*D44,"YELLOW","RED"))))</f>
        <v>Set Goal</v>
      </c>
    </row>
  </sheetData>
  <mergeCells count="6">
    <mergeCell ref="A41:L41"/>
    <mergeCell ref="A1:L1"/>
    <mergeCell ref="A2:L2"/>
    <mergeCell ref="A4:L4"/>
    <mergeCell ref="A13:L13"/>
    <mergeCell ref="A36:L36"/>
  </mergeCells>
  <conditionalFormatting sqref="E6:H11">
    <cfRule type="expression" dxfId="58" priority="2">
      <formula>AND(E6&lt;&gt;"",$D6&lt;&gt;"",E6&gt;=$D6)</formula>
    </cfRule>
    <cfRule type="expression" dxfId="57" priority="3">
      <formula>AND(E6&lt;&gt;"",$D6&lt;&gt;"",E6&gt;=0.85*$D6,E6&lt;$D6)</formula>
    </cfRule>
    <cfRule type="expression" dxfId="56" priority="4">
      <formula>AND(E6&lt;&gt;"",$D6&lt;&gt;"",E6&lt;0.85*$D6)</formula>
    </cfRule>
  </conditionalFormatting>
  <conditionalFormatting sqref="E38:H38">
    <cfRule type="expression" dxfId="55" priority="14">
      <formula>AND(E38&lt;&gt;"",$D38&lt;&gt;"",E38&gt;=$D38)</formula>
    </cfRule>
    <cfRule type="expression" dxfId="54" priority="15">
      <formula>AND(E38&lt;&gt;"",$D38&lt;&gt;"",E38&gt;=0.85*$D38,E38&lt;$D38)</formula>
    </cfRule>
    <cfRule type="expression" dxfId="53" priority="16">
      <formula>AND(E38&lt;&gt;"",$D38&lt;&gt;"",E38&lt;0.85*$D38)</formula>
    </cfRule>
  </conditionalFormatting>
  <conditionalFormatting sqref="E43:H44">
    <cfRule type="expression" dxfId="52" priority="17">
      <formula>AND(E43&lt;&gt;"",$D43&lt;&gt;"",E43&gt;=$D43)</formula>
    </cfRule>
    <cfRule type="expression" dxfId="51" priority="18">
      <formula>AND(E43&lt;&gt;"",$D43&lt;&gt;"",E43&gt;=0.85*$D43,E43&lt;$D43)</formula>
    </cfRule>
    <cfRule type="expression" dxfId="50" priority="19">
      <formula>AND(E43&lt;&gt;"",$D43&lt;&gt;"",E43&lt;0.85*$D43)</formula>
    </cfRule>
  </conditionalFormatting>
  <conditionalFormatting sqref="F15:H16 E17:H18 F19:H19 E20:H32">
    <cfRule type="expression" dxfId="49" priority="8">
      <formula>AND(E15&lt;&gt;"",$D15&lt;&gt;"",E15&gt;=$D15)</formula>
    </cfRule>
    <cfRule type="expression" dxfId="48" priority="9">
      <formula>AND(E15&lt;&gt;"",$D15&lt;&gt;"",E15&gt;=0.85*$D15,E15&lt;$D15)</formula>
    </cfRule>
    <cfRule type="expression" dxfId="47" priority="10">
      <formula>AND(E15&lt;&gt;"",$D15&lt;&gt;"",E15&lt;0.85*$D15)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O98"/>
  <sheetViews>
    <sheetView showGridLines="0" tabSelected="1" zoomScaleNormal="100" workbookViewId="0">
      <pane ySplit="4" topLeftCell="A28" activePane="bottomLeft" state="frozen"/>
      <selection pane="bottomLeft" activeCell="N70" sqref="N70"/>
    </sheetView>
  </sheetViews>
  <sheetFormatPr defaultColWidth="8.5703125" defaultRowHeight="15"/>
  <cols>
    <col min="1" max="1" width="54.85546875" bestFit="1" customWidth="1"/>
    <col min="2" max="2" width="34.140625" bestFit="1" customWidth="1"/>
    <col min="3" max="4" width="13" customWidth="1"/>
    <col min="5" max="8" width="11" customWidth="1"/>
    <col min="9" max="9" width="13" customWidth="1"/>
    <col min="10" max="10" width="12.140625" bestFit="1" customWidth="1"/>
    <col min="11" max="12" width="11" customWidth="1"/>
  </cols>
  <sheetData>
    <row r="1" spans="1:15" ht="27.75" customHeight="1">
      <c r="A1" s="46" t="s">
        <v>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5">
      <c r="A2" s="47" t="s">
        <v>87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1:15" ht="19.5" customHeight="1">
      <c r="A4" s="48" t="s">
        <v>88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5" ht="27.75" customHeight="1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</row>
    <row r="6" spans="1:15">
      <c r="A6" s="19" t="s">
        <v>89</v>
      </c>
      <c r="B6" s="19" t="s">
        <v>90</v>
      </c>
      <c r="C6" s="26"/>
      <c r="D6" s="21" t="str">
        <f>IF(C6="","",C6/'Start Here'!$B$10)</f>
        <v/>
      </c>
      <c r="E6" s="30"/>
      <c r="F6" s="30">
        <v>0</v>
      </c>
      <c r="G6" s="30"/>
      <c r="H6" s="30"/>
      <c r="I6" s="30">
        <f t="shared" ref="I6:I13" si="0">SUM(E6:H6)</f>
        <v>0</v>
      </c>
      <c r="J6" s="22" t="str">
        <f t="shared" ref="J6:J13" si="1">IF(OR(C6="",C6=0),"",I6/C6)</f>
        <v/>
      </c>
      <c r="K6" s="19">
        <f t="shared" ref="K6:K13" si="2">IFERROR(LOOKUP(2,1/(E6:H6&lt;&gt;""),E6:H6),"")</f>
        <v>0</v>
      </c>
      <c r="L6" s="8" t="str">
        <f t="shared" ref="L6:L13" si="3">IF(D6="","Set Goal",IF(K6="","No Data",IF(K6&gt;=D6,"GREEN",IF(K6&gt;=0.85*D6,"YELLOW","RED"))))</f>
        <v>Set Goal</v>
      </c>
    </row>
    <row r="7" spans="1:15">
      <c r="A7" s="19" t="s">
        <v>91</v>
      </c>
      <c r="B7" s="19" t="s">
        <v>90</v>
      </c>
      <c r="C7" s="36"/>
      <c r="D7" s="37"/>
      <c r="E7" s="30"/>
      <c r="F7" s="30">
        <v>7</v>
      </c>
      <c r="G7" s="30"/>
      <c r="H7" s="30"/>
      <c r="I7" s="30">
        <f t="shared" si="0"/>
        <v>7</v>
      </c>
      <c r="J7" s="22"/>
      <c r="K7" s="19" cm="1">
        <f t="array" ref="K7">IFERROR(LOOKUP(2,1/(E7:H7&lt;&gt;""),E7:H7),"")</f>
        <v>7</v>
      </c>
      <c r="L7" s="8" t="str">
        <f>IF(D7="","Set Goal",IF(K7="","No Data",IF(K7&gt;=D7,"GREEN",IF(K7&gt;=0.85*D7,"YELLOW","RED"))))</f>
        <v>Set Goal</v>
      </c>
    </row>
    <row r="8" spans="1:15">
      <c r="A8" s="19" t="s">
        <v>92</v>
      </c>
      <c r="B8" s="19" t="s">
        <v>90</v>
      </c>
      <c r="C8" s="26">
        <v>80000</v>
      </c>
      <c r="D8" s="21">
        <f>IF(C8="","",C8/'Start Here'!$B$10)</f>
        <v>20000</v>
      </c>
      <c r="E8" s="21"/>
      <c r="F8" s="21">
        <v>7440</v>
      </c>
      <c r="G8" s="21"/>
      <c r="H8" s="21"/>
      <c r="I8" s="21">
        <f t="shared" si="0"/>
        <v>7440</v>
      </c>
      <c r="J8" s="22">
        <f>IF(OR(C8="",C8=0),"",I8/C8)</f>
        <v>9.2999999999999999E-2</v>
      </c>
      <c r="K8" s="19">
        <f t="shared" si="2"/>
        <v>7440</v>
      </c>
      <c r="L8" s="8" t="str">
        <f>IF(D8="","Set Goal",IF(K8="","No Data",IF(K8&gt;=D8,"GREEN",IF(K8&gt;=0.85*D8,"YELLOW","RED"))))</f>
        <v>RED</v>
      </c>
    </row>
    <row r="9" spans="1:15">
      <c r="A9" s="19" t="s">
        <v>93</v>
      </c>
      <c r="B9" s="19" t="s">
        <v>90</v>
      </c>
      <c r="C9" s="26"/>
      <c r="D9" s="21" t="str">
        <f>IF(C9="","",C9/'Start Here'!$B$10)</f>
        <v/>
      </c>
      <c r="E9" s="21"/>
      <c r="F9" s="21"/>
      <c r="G9" s="21"/>
      <c r="H9" s="21"/>
      <c r="I9" s="21">
        <f t="shared" si="0"/>
        <v>0</v>
      </c>
      <c r="J9" s="22" t="str">
        <f t="shared" si="1"/>
        <v/>
      </c>
      <c r="K9" s="19" t="str">
        <f t="shared" si="2"/>
        <v/>
      </c>
      <c r="L9" s="8" t="str">
        <f t="shared" si="3"/>
        <v>Set Goal</v>
      </c>
    </row>
    <row r="10" spans="1:15">
      <c r="A10" s="19" t="s">
        <v>94</v>
      </c>
      <c r="B10" s="19" t="s">
        <v>95</v>
      </c>
      <c r="C10" s="26">
        <v>80000</v>
      </c>
      <c r="D10" s="21">
        <f>IF(C10="","",C10/'Start Here'!$B$10)</f>
        <v>20000</v>
      </c>
      <c r="E10" s="21">
        <v>32280</v>
      </c>
      <c r="F10" s="21">
        <v>16460</v>
      </c>
      <c r="G10" s="21">
        <v>91060</v>
      </c>
      <c r="H10" s="21"/>
      <c r="I10" s="21">
        <f t="shared" si="0"/>
        <v>139800</v>
      </c>
      <c r="J10" s="22">
        <f t="shared" si="1"/>
        <v>1.7475000000000001</v>
      </c>
      <c r="K10" s="19">
        <f t="shared" si="2"/>
        <v>91060</v>
      </c>
      <c r="L10" s="8" t="str">
        <f t="shared" si="3"/>
        <v>GREEN</v>
      </c>
    </row>
    <row r="11" spans="1:15">
      <c r="A11" s="19" t="s">
        <v>96</v>
      </c>
      <c r="B11" s="19" t="s">
        <v>95</v>
      </c>
      <c r="C11" s="26"/>
      <c r="D11" s="21" t="str">
        <f>IF(C11="","",C11/'Start Here'!$B$10)</f>
        <v/>
      </c>
      <c r="E11">
        <v>13</v>
      </c>
      <c r="F11" s="31">
        <v>18</v>
      </c>
      <c r="G11" s="31">
        <v>27</v>
      </c>
      <c r="H11" s="31">
        <v>26</v>
      </c>
      <c r="I11" s="31">
        <f>SUM(F11:H11)</f>
        <v>71</v>
      </c>
      <c r="J11" s="22" t="str">
        <f t="shared" si="1"/>
        <v/>
      </c>
      <c r="K11" s="19">
        <f>IFERROR(LOOKUP(2,1/(F11:H11&lt;&gt;""),F11:H11),"")</f>
        <v>26</v>
      </c>
      <c r="L11" s="8" t="str">
        <f t="shared" si="3"/>
        <v>Set Goal</v>
      </c>
    </row>
    <row r="12" spans="1:15">
      <c r="A12" s="19" t="s">
        <v>97</v>
      </c>
      <c r="B12" s="19" t="s">
        <v>90</v>
      </c>
      <c r="C12" s="26">
        <v>80000</v>
      </c>
      <c r="D12" s="21">
        <f>IF(C12="","",C12/'Start Here'!$B$10)</f>
        <v>20000</v>
      </c>
      <c r="E12" s="30"/>
      <c r="F12" s="30">
        <v>0</v>
      </c>
      <c r="G12" s="30"/>
      <c r="H12" s="30"/>
      <c r="I12" s="21">
        <f t="shared" si="0"/>
        <v>0</v>
      </c>
      <c r="J12" s="22">
        <f t="shared" si="1"/>
        <v>0</v>
      </c>
      <c r="K12" s="19">
        <f t="shared" si="2"/>
        <v>0</v>
      </c>
      <c r="L12" s="8" t="str">
        <f t="shared" si="3"/>
        <v>RED</v>
      </c>
    </row>
    <row r="13" spans="1:15">
      <c r="A13" s="19" t="s">
        <v>98</v>
      </c>
      <c r="B13" s="19" t="s">
        <v>55</v>
      </c>
      <c r="C13" s="26">
        <v>80000</v>
      </c>
      <c r="D13" s="21">
        <f>IF(C13="","",C13/'Start Here'!$B$10)</f>
        <v>20000</v>
      </c>
      <c r="E13" s="21">
        <v>0</v>
      </c>
      <c r="F13" s="21">
        <v>34320</v>
      </c>
      <c r="G13" s="21"/>
      <c r="H13" s="21"/>
      <c r="I13" s="21">
        <f t="shared" si="0"/>
        <v>34320</v>
      </c>
      <c r="J13" s="22">
        <f t="shared" si="1"/>
        <v>0.42899999999999999</v>
      </c>
      <c r="K13" s="19">
        <f t="shared" si="2"/>
        <v>34320</v>
      </c>
      <c r="L13" s="8" t="str">
        <f t="shared" si="3"/>
        <v>GREEN</v>
      </c>
    </row>
    <row r="14" spans="1:15">
      <c r="O14" s="44">
        <v>87250</v>
      </c>
    </row>
    <row r="15" spans="1:15" ht="19.5" customHeight="1">
      <c r="A15" s="45" t="s">
        <v>65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O15" s="44">
        <v>22319</v>
      </c>
    </row>
    <row r="16" spans="1:15" ht="27.75" customHeight="1">
      <c r="A16" s="6" t="s">
        <v>40</v>
      </c>
      <c r="B16" s="6" t="s">
        <v>41</v>
      </c>
      <c r="C16" s="6" t="s">
        <v>42</v>
      </c>
      <c r="D16" s="6" t="s">
        <v>43</v>
      </c>
      <c r="E16" s="6" t="s">
        <v>44</v>
      </c>
      <c r="F16" s="6" t="s">
        <v>45</v>
      </c>
      <c r="G16" s="6" t="s">
        <v>46</v>
      </c>
      <c r="H16" s="6" t="s">
        <v>47</v>
      </c>
      <c r="I16" s="6" t="s">
        <v>48</v>
      </c>
      <c r="J16" s="6" t="s">
        <v>49</v>
      </c>
      <c r="K16" s="6" t="s">
        <v>50</v>
      </c>
      <c r="L16" s="6" t="s">
        <v>51</v>
      </c>
    </row>
    <row r="17" spans="1:12">
      <c r="A17" s="19" t="s">
        <v>89</v>
      </c>
      <c r="B17" s="19" t="s">
        <v>99</v>
      </c>
      <c r="C17" s="7"/>
      <c r="D17" s="21" t="str">
        <f>IF(C17="","",C17/'Start Here'!$B$10)</f>
        <v/>
      </c>
      <c r="E17" s="32">
        <v>1</v>
      </c>
      <c r="F17" s="32"/>
      <c r="G17" s="32"/>
      <c r="H17" s="32"/>
      <c r="I17" s="21">
        <f t="shared" ref="I17:I24" si="4">SUM(E17:H17)</f>
        <v>1</v>
      </c>
      <c r="J17" s="22" t="str">
        <f t="shared" ref="J17:J24" si="5">IF(OR(C17="",C17=0),"",I17/C17)</f>
        <v/>
      </c>
      <c r="K17" s="19">
        <f t="shared" ref="K17:K24" si="6">IFERROR(LOOKUP(2,1/(E17:H17&lt;&gt;""),E17:H17),"")</f>
        <v>1</v>
      </c>
      <c r="L17" s="8" t="str">
        <f t="shared" ref="L17:L24" si="7">IF(D17="","Set Goal",IF(K17="","No Data",IF(K17&gt;=D17,"GREEN",IF(K17&gt;=0.85*D17,"YELLOW","RED"))))</f>
        <v>Set Goal</v>
      </c>
    </row>
    <row r="18" spans="1:12">
      <c r="A18" s="19" t="s">
        <v>91</v>
      </c>
      <c r="B18" s="19" t="s">
        <v>99</v>
      </c>
      <c r="C18" s="7"/>
      <c r="D18" s="21" t="str">
        <f>IF(C18="","",C18/'Start Here'!$B$10)</f>
        <v/>
      </c>
      <c r="E18" s="21">
        <v>11</v>
      </c>
      <c r="F18" s="21"/>
      <c r="G18" s="21"/>
      <c r="H18" s="21"/>
      <c r="I18" s="21">
        <f t="shared" si="4"/>
        <v>11</v>
      </c>
      <c r="J18" s="22" t="str">
        <f t="shared" si="5"/>
        <v/>
      </c>
      <c r="K18" s="19">
        <f t="shared" si="6"/>
        <v>11</v>
      </c>
      <c r="L18" s="8" t="str">
        <f t="shared" si="7"/>
        <v>Set Goal</v>
      </c>
    </row>
    <row r="19" spans="1:12">
      <c r="A19" s="19" t="s">
        <v>92</v>
      </c>
      <c r="B19" s="19" t="s">
        <v>99</v>
      </c>
      <c r="C19" s="7">
        <v>240000</v>
      </c>
      <c r="D19" s="21">
        <f>IF(C19="","",C19/'Start Here'!$B$10)</f>
        <v>60000</v>
      </c>
      <c r="E19" s="21">
        <v>36732</v>
      </c>
      <c r="F19" s="21"/>
      <c r="G19" s="21"/>
      <c r="H19" s="21"/>
      <c r="I19" s="21">
        <f t="shared" si="4"/>
        <v>36732</v>
      </c>
      <c r="J19" s="22">
        <f t="shared" si="5"/>
        <v>0.15304999999999999</v>
      </c>
      <c r="K19" s="19">
        <f t="shared" si="6"/>
        <v>36732</v>
      </c>
      <c r="L19" s="8" t="str">
        <f t="shared" si="7"/>
        <v>RED</v>
      </c>
    </row>
    <row r="20" spans="1:12">
      <c r="A20" s="19" t="s">
        <v>93</v>
      </c>
      <c r="B20" s="19" t="s">
        <v>99</v>
      </c>
      <c r="C20" s="7"/>
      <c r="D20" s="21" t="str">
        <f>IF(C20="","",C20/'Start Here'!$B$10)</f>
        <v/>
      </c>
      <c r="E20" s="32">
        <v>12</v>
      </c>
      <c r="F20" s="32"/>
      <c r="G20" s="32"/>
      <c r="H20" s="32"/>
      <c r="I20" s="21">
        <f t="shared" si="4"/>
        <v>12</v>
      </c>
      <c r="J20" s="22" t="str">
        <f t="shared" si="5"/>
        <v/>
      </c>
      <c r="K20" s="19">
        <f t="shared" si="6"/>
        <v>12</v>
      </c>
      <c r="L20" s="8" t="str">
        <f t="shared" si="7"/>
        <v>Set Goal</v>
      </c>
    </row>
    <row r="21" spans="1:12">
      <c r="A21" s="19" t="s">
        <v>94</v>
      </c>
      <c r="B21" s="19" t="s">
        <v>95</v>
      </c>
      <c r="C21" s="7">
        <v>240000</v>
      </c>
      <c r="D21" s="21">
        <f>IF(C21="","",C21/'Start Here'!$B$10)</f>
        <v>60000</v>
      </c>
      <c r="E21" s="21">
        <v>87250</v>
      </c>
      <c r="F21" s="21">
        <v>109569</v>
      </c>
      <c r="G21" s="21"/>
      <c r="H21" s="21"/>
      <c r="I21" s="21">
        <f t="shared" si="4"/>
        <v>196819</v>
      </c>
      <c r="J21" s="22">
        <f t="shared" si="5"/>
        <v>0.82007916666666669</v>
      </c>
      <c r="K21" s="19">
        <f t="shared" si="6"/>
        <v>109569</v>
      </c>
      <c r="L21" s="8" t="str">
        <f t="shared" si="7"/>
        <v>GREEN</v>
      </c>
    </row>
    <row r="22" spans="1:12">
      <c r="A22" s="19" t="s">
        <v>96</v>
      </c>
      <c r="B22" s="19" t="s">
        <v>95</v>
      </c>
      <c r="C22" s="7"/>
      <c r="D22" s="21" t="str">
        <f>IF(C22="","",C22/'Start Here'!$B$10)</f>
        <v/>
      </c>
      <c r="E22" s="31">
        <v>5</v>
      </c>
      <c r="F22" s="31">
        <v>1</v>
      </c>
      <c r="G22" s="31">
        <v>2</v>
      </c>
      <c r="H22" s="31">
        <v>11</v>
      </c>
      <c r="I22" s="31">
        <f t="shared" si="4"/>
        <v>19</v>
      </c>
      <c r="J22" s="22" t="str">
        <f t="shared" si="5"/>
        <v/>
      </c>
      <c r="K22" s="19">
        <f t="shared" si="6"/>
        <v>11</v>
      </c>
      <c r="L22" s="8" t="str">
        <f t="shared" si="7"/>
        <v>Set Goal</v>
      </c>
    </row>
    <row r="23" spans="1:12">
      <c r="A23" s="19" t="s">
        <v>97</v>
      </c>
      <c r="B23" s="19" t="s">
        <v>95</v>
      </c>
      <c r="C23" s="7">
        <v>240000</v>
      </c>
      <c r="D23" s="21">
        <f>IF(C23="","",C23/'Start Here'!$B$10)</f>
        <v>60000</v>
      </c>
      <c r="E23" s="21">
        <v>0</v>
      </c>
      <c r="F23" s="21">
        <v>0</v>
      </c>
      <c r="G23" s="21"/>
      <c r="H23" s="21"/>
      <c r="I23" s="21">
        <f t="shared" si="4"/>
        <v>0</v>
      </c>
      <c r="J23" s="22">
        <f t="shared" si="5"/>
        <v>0</v>
      </c>
      <c r="K23" s="19">
        <f t="shared" si="6"/>
        <v>0</v>
      </c>
      <c r="L23" s="8" t="str">
        <f t="shared" si="7"/>
        <v>RED</v>
      </c>
    </row>
    <row r="24" spans="1:12">
      <c r="A24" s="19" t="s">
        <v>98</v>
      </c>
      <c r="B24" s="19" t="s">
        <v>55</v>
      </c>
      <c r="C24" s="7">
        <v>240000</v>
      </c>
      <c r="D24" s="21">
        <f>IF(C24="","",C24/'Start Here'!$B$10)</f>
        <v>60000</v>
      </c>
      <c r="E24" s="21">
        <v>0</v>
      </c>
      <c r="F24" s="21">
        <v>21843.5</v>
      </c>
      <c r="G24" s="21"/>
      <c r="H24" s="21"/>
      <c r="I24" s="21">
        <f t="shared" si="4"/>
        <v>21843.5</v>
      </c>
      <c r="J24" s="22">
        <f t="shared" si="5"/>
        <v>9.1014583333333329E-2</v>
      </c>
      <c r="K24" s="19">
        <f t="shared" si="6"/>
        <v>21843.5</v>
      </c>
      <c r="L24" s="8" t="str">
        <f t="shared" si="7"/>
        <v>RED</v>
      </c>
    </row>
    <row r="26" spans="1:12" ht="19.5" customHeight="1">
      <c r="A26" s="45" t="s">
        <v>100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2" ht="27.75" customHeight="1">
      <c r="A27" s="6" t="s">
        <v>40</v>
      </c>
      <c r="B27" s="6" t="s">
        <v>41</v>
      </c>
      <c r="C27" s="6" t="s">
        <v>42</v>
      </c>
      <c r="D27" s="6" t="s">
        <v>43</v>
      </c>
      <c r="E27" s="6" t="s">
        <v>44</v>
      </c>
      <c r="F27" s="6" t="s">
        <v>45</v>
      </c>
      <c r="G27" s="6" t="s">
        <v>46</v>
      </c>
      <c r="H27" s="6" t="s">
        <v>47</v>
      </c>
      <c r="I27" s="6" t="s">
        <v>48</v>
      </c>
      <c r="J27" s="6" t="s">
        <v>49</v>
      </c>
      <c r="K27" s="6" t="s">
        <v>50</v>
      </c>
      <c r="L27" s="6" t="s">
        <v>51</v>
      </c>
    </row>
    <row r="28" spans="1:12">
      <c r="A28" s="19" t="s">
        <v>101</v>
      </c>
      <c r="B28" s="19" t="s">
        <v>99</v>
      </c>
      <c r="C28" s="27">
        <v>10</v>
      </c>
      <c r="D28" s="28">
        <f>IF(C28="","",C28/'Start Here'!$B$10)</f>
        <v>2.5</v>
      </c>
      <c r="E28" s="28">
        <v>0</v>
      </c>
      <c r="F28" s="28"/>
      <c r="G28" s="28"/>
      <c r="H28" s="28"/>
      <c r="I28" s="28">
        <f t="shared" ref="I28:I38" si="8">SUM(E28:H28)</f>
        <v>0</v>
      </c>
      <c r="J28" s="22">
        <f t="shared" ref="J28:J38" si="9">IF(OR(C28="",C28=0),"",I28/C28)</f>
        <v>0</v>
      </c>
      <c r="K28" s="19">
        <f t="shared" ref="K28:K38" si="10">IFERROR(LOOKUP(2,1/(E28:H28&lt;&gt;""),E28:H28),"")</f>
        <v>0</v>
      </c>
      <c r="L28" s="8" t="str">
        <f t="shared" ref="L28:L38" si="11">IF(D28="","Set Goal",IF(K28="","No Data",IF(K28&gt;=D28,"GREEN",IF(K28&gt;=0.85*D28,"YELLOW","RED"))))</f>
        <v>RED</v>
      </c>
    </row>
    <row r="29" spans="1:12">
      <c r="A29" s="19" t="s">
        <v>102</v>
      </c>
      <c r="B29" s="19" t="s">
        <v>99</v>
      </c>
      <c r="C29" s="7">
        <v>86700</v>
      </c>
      <c r="D29" s="21">
        <f>IF(C29="","",C29/'Start Here'!$B$10)</f>
        <v>21675</v>
      </c>
      <c r="E29" s="21">
        <v>0</v>
      </c>
      <c r="F29" s="21"/>
      <c r="G29" s="21"/>
      <c r="H29" s="21"/>
      <c r="I29" s="21">
        <f t="shared" si="8"/>
        <v>0</v>
      </c>
      <c r="J29" s="22">
        <f t="shared" si="9"/>
        <v>0</v>
      </c>
      <c r="K29" s="19">
        <f t="shared" si="10"/>
        <v>0</v>
      </c>
      <c r="L29" s="8" t="str">
        <f t="shared" si="11"/>
        <v>RED</v>
      </c>
    </row>
    <row r="30" spans="1:12">
      <c r="A30" s="19" t="s">
        <v>103</v>
      </c>
      <c r="B30" s="19" t="s">
        <v>99</v>
      </c>
      <c r="C30" s="7">
        <v>300000</v>
      </c>
      <c r="D30" s="21">
        <f>IF(C30="","",C30/'Start Here'!$B$10)</f>
        <v>75000</v>
      </c>
      <c r="E30" s="21">
        <v>0</v>
      </c>
      <c r="F30" s="21"/>
      <c r="G30" s="21"/>
      <c r="H30" s="21"/>
      <c r="I30" s="21">
        <f t="shared" si="8"/>
        <v>0</v>
      </c>
      <c r="J30" s="22">
        <f t="shared" si="9"/>
        <v>0</v>
      </c>
      <c r="K30" s="19">
        <f t="shared" si="10"/>
        <v>0</v>
      </c>
      <c r="L30" s="8" t="str">
        <f t="shared" si="11"/>
        <v>RED</v>
      </c>
    </row>
    <row r="31" spans="1:12">
      <c r="A31" s="19" t="s">
        <v>89</v>
      </c>
      <c r="B31" s="19" t="s">
        <v>99</v>
      </c>
      <c r="C31" s="7"/>
      <c r="D31" s="21" t="str">
        <f>IF(C31="","",C31/'Start Here'!$B$10)</f>
        <v/>
      </c>
      <c r="E31" s="28">
        <v>1</v>
      </c>
      <c r="F31" s="28"/>
      <c r="G31" s="28"/>
      <c r="H31" s="28"/>
      <c r="I31" s="33">
        <f t="shared" si="8"/>
        <v>1</v>
      </c>
      <c r="J31" s="22" t="str">
        <f t="shared" si="9"/>
        <v/>
      </c>
      <c r="K31" s="19">
        <f t="shared" si="10"/>
        <v>1</v>
      </c>
      <c r="L31" s="8" t="str">
        <f t="shared" si="11"/>
        <v>Set Goal</v>
      </c>
    </row>
    <row r="32" spans="1:12">
      <c r="A32" s="19" t="s">
        <v>91</v>
      </c>
      <c r="B32" s="19" t="s">
        <v>99</v>
      </c>
      <c r="C32" s="7"/>
      <c r="D32" s="21" t="str">
        <f>IF(C32="","",C32/'Start Here'!$B$10)</f>
        <v/>
      </c>
      <c r="E32" s="21">
        <v>0</v>
      </c>
      <c r="F32" s="21"/>
      <c r="G32" s="21"/>
      <c r="H32" s="21"/>
      <c r="I32" s="21">
        <f t="shared" si="8"/>
        <v>0</v>
      </c>
      <c r="J32" s="22" t="str">
        <f t="shared" si="9"/>
        <v/>
      </c>
      <c r="K32" s="19">
        <f t="shared" si="10"/>
        <v>0</v>
      </c>
      <c r="L32" s="8" t="str">
        <f t="shared" si="11"/>
        <v>Set Goal</v>
      </c>
    </row>
    <row r="33" spans="1:15">
      <c r="A33" s="19" t="s">
        <v>92</v>
      </c>
      <c r="B33" s="19" t="s">
        <v>99</v>
      </c>
      <c r="C33" s="7">
        <v>386700</v>
      </c>
      <c r="D33" s="21">
        <f>IF(C33="","",C33/'Start Here'!$B$10)</f>
        <v>96675</v>
      </c>
      <c r="E33" s="21">
        <v>0</v>
      </c>
      <c r="F33" s="21"/>
      <c r="G33" s="21"/>
      <c r="H33" s="21"/>
      <c r="I33" s="21">
        <f t="shared" si="8"/>
        <v>0</v>
      </c>
      <c r="J33" s="22">
        <f t="shared" si="9"/>
        <v>0</v>
      </c>
      <c r="K33" s="19">
        <f t="shared" si="10"/>
        <v>0</v>
      </c>
      <c r="L33" s="8" t="str">
        <f t="shared" si="11"/>
        <v>RED</v>
      </c>
    </row>
    <row r="34" spans="1:15">
      <c r="A34" s="19" t="s">
        <v>93</v>
      </c>
      <c r="B34" s="19" t="s">
        <v>99</v>
      </c>
      <c r="C34" s="7"/>
      <c r="D34" s="21" t="str">
        <f>IF(C34="","",C34/'Start Here'!$B$10)</f>
        <v/>
      </c>
      <c r="E34" s="28">
        <v>2</v>
      </c>
      <c r="F34" s="28"/>
      <c r="G34" s="28"/>
      <c r="H34" s="28"/>
      <c r="I34" s="34">
        <f t="shared" si="8"/>
        <v>2</v>
      </c>
      <c r="J34" s="22" t="str">
        <f t="shared" si="9"/>
        <v/>
      </c>
      <c r="K34" s="19">
        <f t="shared" si="10"/>
        <v>2</v>
      </c>
      <c r="L34" s="8" t="str">
        <f t="shared" si="11"/>
        <v>Set Goal</v>
      </c>
    </row>
    <row r="35" spans="1:15">
      <c r="A35" s="19" t="s">
        <v>94</v>
      </c>
      <c r="B35" s="19" t="s">
        <v>95</v>
      </c>
      <c r="C35" s="7">
        <v>300000</v>
      </c>
      <c r="D35" s="21">
        <f>IF(C35="","",C35/'Start Here'!$B$10)</f>
        <v>75000</v>
      </c>
      <c r="E35" s="21">
        <v>36852</v>
      </c>
      <c r="F35" s="21">
        <v>0</v>
      </c>
      <c r="G35" s="21"/>
      <c r="H35" s="21"/>
      <c r="I35" s="21">
        <f t="shared" si="8"/>
        <v>36852</v>
      </c>
      <c r="J35" s="22">
        <f t="shared" si="9"/>
        <v>0.12284</v>
      </c>
      <c r="K35" s="19">
        <f t="shared" si="10"/>
        <v>0</v>
      </c>
      <c r="L35" s="8" t="str">
        <f t="shared" si="11"/>
        <v>RED</v>
      </c>
      <c r="O35" t="s">
        <v>104</v>
      </c>
    </row>
    <row r="36" spans="1:15">
      <c r="A36" s="19" t="s">
        <v>96</v>
      </c>
      <c r="B36" s="19" t="s">
        <v>95</v>
      </c>
      <c r="C36" s="7"/>
      <c r="D36" s="21" t="str">
        <f>IF(C36="","",C36/'Start Here'!$B$10)</f>
        <v/>
      </c>
      <c r="E36" s="31">
        <v>0</v>
      </c>
      <c r="F36" s="31">
        <v>3</v>
      </c>
      <c r="G36" s="31">
        <v>0</v>
      </c>
      <c r="H36" s="31">
        <v>1</v>
      </c>
      <c r="I36" s="31">
        <f t="shared" si="8"/>
        <v>4</v>
      </c>
      <c r="J36" s="22" t="str">
        <f t="shared" si="9"/>
        <v/>
      </c>
      <c r="K36" s="19">
        <f t="shared" si="10"/>
        <v>1</v>
      </c>
      <c r="L36" s="8" t="str">
        <f t="shared" si="11"/>
        <v>Set Goal</v>
      </c>
    </row>
    <row r="37" spans="1:15">
      <c r="A37" s="19" t="s">
        <v>97</v>
      </c>
      <c r="B37" s="19" t="s">
        <v>95</v>
      </c>
      <c r="C37" s="7">
        <v>300000</v>
      </c>
      <c r="D37" s="21">
        <f>IF(C37="","",C37/'Start Here'!$B$10)</f>
        <v>75000</v>
      </c>
      <c r="E37" s="21"/>
      <c r="F37" s="21"/>
      <c r="G37" s="21"/>
      <c r="H37" s="21"/>
      <c r="I37" s="21">
        <f t="shared" si="8"/>
        <v>0</v>
      </c>
      <c r="J37" s="22">
        <f t="shared" si="9"/>
        <v>0</v>
      </c>
      <c r="K37" s="19" t="str">
        <f t="shared" si="10"/>
        <v/>
      </c>
      <c r="L37" s="8" t="str">
        <f t="shared" si="11"/>
        <v>No Data</v>
      </c>
    </row>
    <row r="38" spans="1:15">
      <c r="A38" s="19" t="s">
        <v>98</v>
      </c>
      <c r="B38" s="19" t="s">
        <v>55</v>
      </c>
      <c r="C38" s="7">
        <v>300000</v>
      </c>
      <c r="D38" s="21">
        <f>IF(C38="","",C38/'Start Here'!$B$10)</f>
        <v>75000</v>
      </c>
      <c r="E38" s="21">
        <v>0</v>
      </c>
      <c r="F38" s="21">
        <v>161797</v>
      </c>
      <c r="G38" s="21"/>
      <c r="H38" s="21"/>
      <c r="I38" s="21">
        <f t="shared" si="8"/>
        <v>161797</v>
      </c>
      <c r="J38" s="22">
        <f t="shared" si="9"/>
        <v>0.53932333333333338</v>
      </c>
      <c r="K38" s="19">
        <f t="shared" si="10"/>
        <v>161797</v>
      </c>
      <c r="L38" s="8" t="str">
        <f t="shared" si="11"/>
        <v>GREEN</v>
      </c>
    </row>
    <row r="40" spans="1:15" ht="19.5" customHeight="1">
      <c r="A40" s="45" t="s">
        <v>105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</row>
    <row r="41" spans="1:15" ht="27.75" customHeight="1">
      <c r="A41" s="6" t="s">
        <v>40</v>
      </c>
      <c r="B41" s="6" t="s">
        <v>41</v>
      </c>
      <c r="C41" s="6" t="s">
        <v>42</v>
      </c>
      <c r="D41" s="6" t="s">
        <v>43</v>
      </c>
      <c r="E41" s="6" t="s">
        <v>44</v>
      </c>
      <c r="F41" s="6" t="s">
        <v>45</v>
      </c>
      <c r="G41" s="6" t="s">
        <v>46</v>
      </c>
      <c r="H41" s="6" t="s">
        <v>47</v>
      </c>
      <c r="I41" s="6" t="s">
        <v>48</v>
      </c>
      <c r="J41" s="6" t="s">
        <v>49</v>
      </c>
      <c r="K41" s="6" t="s">
        <v>50</v>
      </c>
      <c r="L41" s="6" t="s">
        <v>51</v>
      </c>
    </row>
    <row r="42" spans="1:15">
      <c r="A42" s="19" t="s">
        <v>89</v>
      </c>
      <c r="B42" s="19" t="s">
        <v>106</v>
      </c>
      <c r="C42" s="7"/>
      <c r="D42" s="21" t="str">
        <f>IF(C42="","",C42/'Start Here'!$B$10)</f>
        <v/>
      </c>
      <c r="E42" s="35">
        <v>1</v>
      </c>
      <c r="F42" s="35"/>
      <c r="G42" s="35"/>
      <c r="H42" s="35"/>
      <c r="I42" s="34">
        <f t="shared" ref="I42:I49" si="12">SUM(E42:H42)</f>
        <v>1</v>
      </c>
      <c r="J42" s="22" t="str">
        <f t="shared" ref="J42:J49" si="13">IF(OR(C42="",C42=0),"",I42/C42)</f>
        <v/>
      </c>
      <c r="K42" s="19">
        <f t="shared" ref="K42:K49" si="14">IFERROR(LOOKUP(2,1/(E42:H42&lt;&gt;""),E42:H42),"")</f>
        <v>1</v>
      </c>
      <c r="L42" s="8" t="str">
        <f t="shared" ref="L42:L49" si="15">IF(D42="","Set Goal",IF(K42="","No Data",IF(K42&gt;=D42,"GREEN",IF(K42&gt;=0.85*D42,"YELLOW","RED"))))</f>
        <v>Set Goal</v>
      </c>
    </row>
    <row r="43" spans="1:15">
      <c r="A43" s="19" t="s">
        <v>91</v>
      </c>
      <c r="B43" s="19" t="s">
        <v>106</v>
      </c>
      <c r="C43" s="7"/>
      <c r="D43" s="21" t="str">
        <f>IF(C43="","",C43/'Start Here'!$B$10)</f>
        <v/>
      </c>
      <c r="E43" s="35">
        <v>1</v>
      </c>
      <c r="F43" s="35"/>
      <c r="G43" s="35"/>
      <c r="H43" s="35"/>
      <c r="I43" s="34">
        <f t="shared" si="12"/>
        <v>1</v>
      </c>
      <c r="J43" s="22" t="str">
        <f t="shared" si="13"/>
        <v/>
      </c>
      <c r="K43" s="19">
        <f t="shared" si="14"/>
        <v>1</v>
      </c>
      <c r="L43" s="8" t="str">
        <f t="shared" si="15"/>
        <v>Set Goal</v>
      </c>
    </row>
    <row r="44" spans="1:15">
      <c r="A44" s="19" t="s">
        <v>92</v>
      </c>
      <c r="B44" s="19" t="s">
        <v>106</v>
      </c>
      <c r="C44" s="7">
        <v>240000</v>
      </c>
      <c r="D44" s="21">
        <f>IF(C44="","",C44/'Start Here'!$B$10)</f>
        <v>60000</v>
      </c>
      <c r="E44" s="21">
        <v>4289</v>
      </c>
      <c r="F44" s="21"/>
      <c r="G44" s="21"/>
      <c r="H44" s="21"/>
      <c r="I44" s="21">
        <f t="shared" si="12"/>
        <v>4289</v>
      </c>
      <c r="J44" s="22">
        <f t="shared" si="13"/>
        <v>1.7870833333333332E-2</v>
      </c>
      <c r="K44" s="19">
        <f t="shared" si="14"/>
        <v>4289</v>
      </c>
      <c r="L44" s="8" t="str">
        <f t="shared" si="15"/>
        <v>RED</v>
      </c>
    </row>
    <row r="45" spans="1:15">
      <c r="A45" s="19" t="s">
        <v>93</v>
      </c>
      <c r="B45" s="19" t="s">
        <v>106</v>
      </c>
      <c r="C45" s="7"/>
      <c r="D45" s="28" t="str">
        <f>IF(C45="","",C45/'Start Here'!$B$10)</f>
        <v/>
      </c>
      <c r="E45" s="28">
        <v>0</v>
      </c>
      <c r="F45" s="28"/>
      <c r="G45" s="28"/>
      <c r="H45" s="28"/>
      <c r="I45" s="21">
        <f t="shared" si="12"/>
        <v>0</v>
      </c>
      <c r="J45" s="22" t="str">
        <f t="shared" si="13"/>
        <v/>
      </c>
      <c r="K45" s="19">
        <f t="shared" si="14"/>
        <v>0</v>
      </c>
      <c r="L45" s="8" t="str">
        <f t="shared" si="15"/>
        <v>Set Goal</v>
      </c>
    </row>
    <row r="46" spans="1:15">
      <c r="A46" s="19" t="s">
        <v>94</v>
      </c>
      <c r="B46" s="19" t="s">
        <v>95</v>
      </c>
      <c r="C46" s="7">
        <v>240000</v>
      </c>
      <c r="D46" s="21">
        <f>IF(C46="","",C46/'Start Here'!$B$10)</f>
        <v>60000</v>
      </c>
      <c r="E46" s="21">
        <v>2562</v>
      </c>
      <c r="F46" s="21">
        <v>7055</v>
      </c>
      <c r="G46" s="21"/>
      <c r="H46" s="21"/>
      <c r="I46" s="21">
        <f>SUM(E46:H46)</f>
        <v>9617</v>
      </c>
      <c r="J46" s="22">
        <f t="shared" si="13"/>
        <v>4.0070833333333333E-2</v>
      </c>
      <c r="K46" s="19">
        <f>IFERROR(LOOKUP(2,1/(E46:H46&lt;&gt;""),E46:H46),"")</f>
        <v>7055</v>
      </c>
      <c r="L46" s="8" t="str">
        <f t="shared" si="15"/>
        <v>RED</v>
      </c>
    </row>
    <row r="47" spans="1:15">
      <c r="A47" s="19" t="s">
        <v>96</v>
      </c>
      <c r="B47" s="19" t="s">
        <v>95</v>
      </c>
      <c r="C47" s="7"/>
      <c r="D47" s="21" t="str">
        <f>IF(C47="","",C47/'Start Here'!$B$10)</f>
        <v/>
      </c>
      <c r="E47" s="32">
        <v>1</v>
      </c>
      <c r="F47" s="31">
        <v>0</v>
      </c>
      <c r="G47" s="31">
        <v>1</v>
      </c>
      <c r="H47" s="31"/>
      <c r="I47" s="31">
        <f t="shared" si="12"/>
        <v>2</v>
      </c>
      <c r="J47" s="22" t="str">
        <f t="shared" si="13"/>
        <v/>
      </c>
      <c r="K47" s="19">
        <f t="shared" si="14"/>
        <v>1</v>
      </c>
      <c r="L47" s="8" t="str">
        <f t="shared" si="15"/>
        <v>Set Goal</v>
      </c>
    </row>
    <row r="48" spans="1:15">
      <c r="A48" s="19" t="s">
        <v>97</v>
      </c>
      <c r="B48" s="19" t="s">
        <v>95</v>
      </c>
      <c r="C48" s="7">
        <v>240000</v>
      </c>
      <c r="D48" s="21">
        <f>IF(C48="","",C48/'Start Here'!$B$10)</f>
        <v>60000</v>
      </c>
      <c r="E48" s="21"/>
      <c r="F48" s="21"/>
      <c r="G48" s="21"/>
      <c r="H48" s="21"/>
      <c r="I48" s="21">
        <f t="shared" si="12"/>
        <v>0</v>
      </c>
      <c r="J48" s="22">
        <f t="shared" si="13"/>
        <v>0</v>
      </c>
      <c r="K48" s="19" t="str">
        <f t="shared" si="14"/>
        <v/>
      </c>
      <c r="L48" s="8" t="str">
        <f t="shared" si="15"/>
        <v>No Data</v>
      </c>
    </row>
    <row r="49" spans="1:12">
      <c r="A49" s="19" t="s">
        <v>98</v>
      </c>
      <c r="B49" s="19" t="s">
        <v>55</v>
      </c>
      <c r="C49" s="7">
        <v>240000</v>
      </c>
      <c r="D49" s="21">
        <f>IF(C49="","",C49/'Start Here'!$B$10)</f>
        <v>60000</v>
      </c>
      <c r="E49" s="21">
        <v>0</v>
      </c>
      <c r="F49" s="21">
        <v>0</v>
      </c>
      <c r="G49" s="21"/>
      <c r="H49" s="21"/>
      <c r="I49" s="21">
        <f t="shared" si="12"/>
        <v>0</v>
      </c>
      <c r="J49" s="22">
        <f t="shared" si="13"/>
        <v>0</v>
      </c>
      <c r="K49" s="19">
        <f t="shared" si="14"/>
        <v>0</v>
      </c>
      <c r="L49" s="8" t="str">
        <f t="shared" si="15"/>
        <v>RED</v>
      </c>
    </row>
    <row r="51" spans="1:12" ht="19.5" customHeight="1">
      <c r="A51" s="45" t="s">
        <v>67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 ht="27.75" customHeight="1">
      <c r="A52" s="6" t="s">
        <v>40</v>
      </c>
      <c r="B52" s="6" t="s">
        <v>41</v>
      </c>
      <c r="C52" s="6" t="s">
        <v>42</v>
      </c>
      <c r="D52" s="6" t="s">
        <v>43</v>
      </c>
      <c r="E52" s="6" t="s">
        <v>44</v>
      </c>
      <c r="F52" s="6" t="s">
        <v>45</v>
      </c>
      <c r="G52" s="6" t="s">
        <v>46</v>
      </c>
      <c r="H52" s="6" t="s">
        <v>47</v>
      </c>
      <c r="I52" s="6" t="s">
        <v>48</v>
      </c>
      <c r="J52" s="6" t="s">
        <v>49</v>
      </c>
      <c r="K52" s="6" t="s">
        <v>50</v>
      </c>
      <c r="L52" s="6" t="s">
        <v>51</v>
      </c>
    </row>
    <row r="53" spans="1:12">
      <c r="A53" s="19" t="s">
        <v>89</v>
      </c>
      <c r="B53" s="19" t="s">
        <v>106</v>
      </c>
      <c r="C53" s="7"/>
      <c r="D53" s="21" t="str">
        <f>IF(C53="","",C53/'Start Here'!$B$10)</f>
        <v/>
      </c>
      <c r="E53" s="21">
        <v>0</v>
      </c>
      <c r="F53" s="21"/>
      <c r="G53" s="21"/>
      <c r="H53" s="21"/>
      <c r="I53" s="21">
        <f t="shared" ref="I53:I60" si="16">SUM(E53:H53)</f>
        <v>0</v>
      </c>
      <c r="J53" s="22" t="str">
        <f t="shared" ref="J53:J60" si="17">IF(OR(C53="",C53=0),"",I53/C53)</f>
        <v/>
      </c>
      <c r="K53" s="19">
        <f t="shared" ref="K53:K60" si="18">IFERROR(LOOKUP(2,1/(E53:H53&lt;&gt;""),E53:H53),"")</f>
        <v>0</v>
      </c>
      <c r="L53" s="8" t="str">
        <f t="shared" ref="L53:L60" si="19">IF(D53="","Set Goal",IF(K53="","No Data",IF(K53&gt;=D53,"GREEN",IF(K53&gt;=0.85*D53,"YELLOW","RED"))))</f>
        <v>Set Goal</v>
      </c>
    </row>
    <row r="54" spans="1:12">
      <c r="A54" s="19" t="s">
        <v>91</v>
      </c>
      <c r="B54" s="19" t="s">
        <v>106</v>
      </c>
      <c r="C54" s="7"/>
      <c r="D54" s="21" t="str">
        <f>IF(C54="","",C54/'Start Here'!$B$10)</f>
        <v/>
      </c>
      <c r="E54" s="21">
        <v>0</v>
      </c>
      <c r="F54" s="21"/>
      <c r="G54" s="21"/>
      <c r="H54" s="21"/>
      <c r="I54" s="21">
        <f t="shared" si="16"/>
        <v>0</v>
      </c>
      <c r="J54" s="22" t="str">
        <f t="shared" si="17"/>
        <v/>
      </c>
      <c r="K54" s="19">
        <f t="shared" si="18"/>
        <v>0</v>
      </c>
      <c r="L54" s="8" t="str">
        <f t="shared" si="19"/>
        <v>Set Goal</v>
      </c>
    </row>
    <row r="55" spans="1:12">
      <c r="A55" s="19" t="s">
        <v>92</v>
      </c>
      <c r="B55" s="19" t="s">
        <v>106</v>
      </c>
      <c r="C55" s="7">
        <v>60000</v>
      </c>
      <c r="D55" s="21">
        <f>IF(C55="","",C55/'Start Here'!$B$10)</f>
        <v>15000</v>
      </c>
      <c r="E55" s="21">
        <v>0</v>
      </c>
      <c r="F55" s="21"/>
      <c r="G55" s="21"/>
      <c r="H55" s="21"/>
      <c r="I55" s="21">
        <f t="shared" si="16"/>
        <v>0</v>
      </c>
      <c r="J55" s="22">
        <f t="shared" si="17"/>
        <v>0</v>
      </c>
      <c r="K55" s="19">
        <f t="shared" si="18"/>
        <v>0</v>
      </c>
      <c r="L55" s="8" t="str">
        <f t="shared" si="19"/>
        <v>RED</v>
      </c>
    </row>
    <row r="56" spans="1:12">
      <c r="A56" s="19" t="s">
        <v>93</v>
      </c>
      <c r="B56" s="19" t="s">
        <v>106</v>
      </c>
      <c r="C56" s="7"/>
      <c r="D56" s="28" t="str">
        <f>IF(C56="","",C56/'Start Here'!$B$10)</f>
        <v/>
      </c>
      <c r="E56" s="28">
        <v>0</v>
      </c>
      <c r="F56" s="28"/>
      <c r="G56" s="28"/>
      <c r="H56" s="28"/>
      <c r="I56" s="21">
        <f t="shared" si="16"/>
        <v>0</v>
      </c>
      <c r="J56" s="22" t="str">
        <f t="shared" si="17"/>
        <v/>
      </c>
      <c r="K56" s="19">
        <f t="shared" si="18"/>
        <v>0</v>
      </c>
      <c r="L56" s="8" t="str">
        <f t="shared" si="19"/>
        <v>Set Goal</v>
      </c>
    </row>
    <row r="57" spans="1:12">
      <c r="A57" s="19" t="s">
        <v>94</v>
      </c>
      <c r="B57" s="19" t="s">
        <v>95</v>
      </c>
      <c r="C57" s="7">
        <v>200000</v>
      </c>
      <c r="D57" s="21">
        <f>IF(C57="","",C57/'Start Here'!$B$10)</f>
        <v>50000</v>
      </c>
      <c r="E57" s="21">
        <v>0</v>
      </c>
      <c r="F57" s="21">
        <v>0</v>
      </c>
      <c r="G57" s="21"/>
      <c r="H57" s="21"/>
      <c r="I57" s="21">
        <f t="shared" si="16"/>
        <v>0</v>
      </c>
      <c r="J57" s="22">
        <f t="shared" si="17"/>
        <v>0</v>
      </c>
      <c r="K57" s="19">
        <f t="shared" si="18"/>
        <v>0</v>
      </c>
      <c r="L57" s="8" t="str">
        <f t="shared" si="19"/>
        <v>RED</v>
      </c>
    </row>
    <row r="58" spans="1:12">
      <c r="A58" s="19" t="s">
        <v>96</v>
      </c>
      <c r="B58" s="19" t="s">
        <v>95</v>
      </c>
      <c r="C58" s="7"/>
      <c r="D58" s="21" t="str">
        <f>IF(C58="","",C58/'Start Here'!$B$10)</f>
        <v/>
      </c>
      <c r="E58" s="21">
        <v>0</v>
      </c>
      <c r="F58" s="21"/>
      <c r="G58" s="21"/>
      <c r="H58" s="21"/>
      <c r="I58" s="21">
        <f t="shared" si="16"/>
        <v>0</v>
      </c>
      <c r="J58" s="22" t="str">
        <f t="shared" si="17"/>
        <v/>
      </c>
      <c r="K58" s="19">
        <f t="shared" si="18"/>
        <v>0</v>
      </c>
      <c r="L58" s="8" t="str">
        <f t="shared" si="19"/>
        <v>Set Goal</v>
      </c>
    </row>
    <row r="59" spans="1:12">
      <c r="A59" s="19" t="s">
        <v>97</v>
      </c>
      <c r="B59" s="19" t="s">
        <v>95</v>
      </c>
      <c r="C59" s="7">
        <v>200000</v>
      </c>
      <c r="D59" s="21">
        <f>IF(C59="","",C59/'Start Here'!$B$10)</f>
        <v>50000</v>
      </c>
      <c r="E59" s="21"/>
      <c r="F59" s="21"/>
      <c r="G59" s="21"/>
      <c r="H59" s="21"/>
      <c r="I59" s="21">
        <f t="shared" si="16"/>
        <v>0</v>
      </c>
      <c r="J59" s="22">
        <f t="shared" si="17"/>
        <v>0</v>
      </c>
      <c r="K59" s="19" t="str">
        <f t="shared" si="18"/>
        <v/>
      </c>
      <c r="L59" s="8" t="str">
        <f t="shared" si="19"/>
        <v>No Data</v>
      </c>
    </row>
    <row r="60" spans="1:12">
      <c r="A60" s="19" t="s">
        <v>98</v>
      </c>
      <c r="B60" s="19" t="s">
        <v>55</v>
      </c>
      <c r="C60" s="7">
        <v>200000</v>
      </c>
      <c r="D60" s="21">
        <f>IF(C60="","",C60/'Start Here'!$B$10)</f>
        <v>50000</v>
      </c>
      <c r="E60" s="21">
        <v>0</v>
      </c>
      <c r="F60" s="21">
        <v>0</v>
      </c>
      <c r="G60" s="21"/>
      <c r="H60" s="21"/>
      <c r="I60" s="21">
        <f t="shared" si="16"/>
        <v>0</v>
      </c>
      <c r="J60" s="22">
        <f t="shared" si="17"/>
        <v>0</v>
      </c>
      <c r="K60" s="19">
        <f t="shared" si="18"/>
        <v>0</v>
      </c>
      <c r="L60" s="8" t="str">
        <f t="shared" si="19"/>
        <v>RED</v>
      </c>
    </row>
    <row r="62" spans="1:12" ht="19.5" customHeight="1">
      <c r="A62" s="45" t="s">
        <v>68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 ht="27.75" customHeight="1">
      <c r="A63" s="6" t="s">
        <v>40</v>
      </c>
      <c r="B63" s="6" t="s">
        <v>41</v>
      </c>
      <c r="C63" s="6" t="s">
        <v>42</v>
      </c>
      <c r="D63" s="6" t="s">
        <v>43</v>
      </c>
      <c r="E63" s="6" t="s">
        <v>44</v>
      </c>
      <c r="F63" s="6" t="s">
        <v>45</v>
      </c>
      <c r="G63" s="6" t="s">
        <v>46</v>
      </c>
      <c r="H63" s="6" t="s">
        <v>47</v>
      </c>
      <c r="I63" s="6" t="s">
        <v>48</v>
      </c>
      <c r="J63" s="6" t="s">
        <v>49</v>
      </c>
      <c r="K63" s="6" t="s">
        <v>50</v>
      </c>
      <c r="L63" s="6" t="s">
        <v>51</v>
      </c>
    </row>
    <row r="64" spans="1:12">
      <c r="A64" s="19" t="s">
        <v>89</v>
      </c>
      <c r="B64" s="19" t="s">
        <v>106</v>
      </c>
      <c r="C64" s="7"/>
      <c r="D64" s="21" t="str">
        <f>IF(C64="","",C64/'Start Here'!$B$10)</f>
        <v/>
      </c>
      <c r="E64" s="21">
        <v>0</v>
      </c>
      <c r="F64" s="21"/>
      <c r="G64" s="21"/>
      <c r="H64" s="21"/>
      <c r="I64" s="21">
        <f t="shared" ref="I64:I71" si="20">SUM(E64:H64)</f>
        <v>0</v>
      </c>
      <c r="J64" s="22" t="str">
        <f t="shared" ref="J64:J71" si="21">IF(OR(C64="",C64=0),"",I64/C64)</f>
        <v/>
      </c>
      <c r="K64" s="19">
        <f t="shared" ref="K64:K71" si="22">IFERROR(LOOKUP(2,1/(E64:H64&lt;&gt;""),E64:H64),"")</f>
        <v>0</v>
      </c>
      <c r="L64" s="8" t="str">
        <f t="shared" ref="L64:L71" si="23">IF(D64="","Set Goal",IF(K64="","No Data",IF(K64&gt;=D64,"GREEN",IF(K64&gt;=0.85*D64,"YELLOW","RED"))))</f>
        <v>Set Goal</v>
      </c>
    </row>
    <row r="65" spans="1:12">
      <c r="A65" s="19" t="s">
        <v>91</v>
      </c>
      <c r="B65" s="19" t="s">
        <v>106</v>
      </c>
      <c r="C65" s="7"/>
      <c r="D65" s="28" t="str">
        <f>IF(C65="","",C65/'Start Here'!$B$10)</f>
        <v/>
      </c>
      <c r="E65" s="28">
        <v>0</v>
      </c>
      <c r="F65" s="28"/>
      <c r="G65" s="28"/>
      <c r="H65" s="28"/>
      <c r="I65" s="21">
        <f t="shared" si="20"/>
        <v>0</v>
      </c>
      <c r="J65" s="22" t="str">
        <f t="shared" si="21"/>
        <v/>
      </c>
      <c r="K65" s="19">
        <f t="shared" si="22"/>
        <v>0</v>
      </c>
      <c r="L65" s="8" t="str">
        <f t="shared" si="23"/>
        <v>Set Goal</v>
      </c>
    </row>
    <row r="66" spans="1:12">
      <c r="A66" s="19" t="s">
        <v>92</v>
      </c>
      <c r="B66" s="19" t="s">
        <v>106</v>
      </c>
      <c r="C66" s="7">
        <v>5000</v>
      </c>
      <c r="D66" s="21">
        <f>IF(C66="","",C66/'Start Here'!$B$10)</f>
        <v>1250</v>
      </c>
      <c r="E66" s="21">
        <v>0</v>
      </c>
      <c r="F66" s="21"/>
      <c r="G66" s="21"/>
      <c r="H66" s="21"/>
      <c r="I66" s="21">
        <f t="shared" si="20"/>
        <v>0</v>
      </c>
      <c r="J66" s="22">
        <f t="shared" si="21"/>
        <v>0</v>
      </c>
      <c r="K66" s="19">
        <f t="shared" si="22"/>
        <v>0</v>
      </c>
      <c r="L66" s="8" t="str">
        <f t="shared" si="23"/>
        <v>RED</v>
      </c>
    </row>
    <row r="67" spans="1:12">
      <c r="A67" s="19" t="s">
        <v>93</v>
      </c>
      <c r="B67" s="19" t="s">
        <v>106</v>
      </c>
      <c r="C67" s="7"/>
      <c r="D67" s="21" t="str">
        <f>IF(C67="","",C67/'Start Here'!$B$10)</f>
        <v/>
      </c>
      <c r="E67" s="21">
        <v>0</v>
      </c>
      <c r="F67" s="21"/>
      <c r="G67" s="21"/>
      <c r="H67" s="21"/>
      <c r="I67" s="21">
        <f t="shared" si="20"/>
        <v>0</v>
      </c>
      <c r="J67" s="22" t="str">
        <f t="shared" si="21"/>
        <v/>
      </c>
      <c r="K67" s="19">
        <f t="shared" si="22"/>
        <v>0</v>
      </c>
      <c r="L67" s="8" t="str">
        <f t="shared" si="23"/>
        <v>Set Goal</v>
      </c>
    </row>
    <row r="68" spans="1:12">
      <c r="A68" s="19" t="s">
        <v>94</v>
      </c>
      <c r="B68" s="19" t="s">
        <v>95</v>
      </c>
      <c r="C68" s="7">
        <v>5000</v>
      </c>
      <c r="D68" s="21">
        <f>IF(C68="","",C68/'Start Here'!$B$10)</f>
        <v>1250</v>
      </c>
      <c r="E68" s="21">
        <v>4960</v>
      </c>
      <c r="F68" s="21">
        <v>0</v>
      </c>
      <c r="G68" s="21"/>
      <c r="H68" s="21"/>
      <c r="I68" s="21">
        <f t="shared" si="20"/>
        <v>4960</v>
      </c>
      <c r="J68" s="22">
        <f t="shared" si="21"/>
        <v>0.99199999999999999</v>
      </c>
      <c r="K68" s="19">
        <f t="shared" si="22"/>
        <v>0</v>
      </c>
      <c r="L68" s="8" t="str">
        <f t="shared" si="23"/>
        <v>RED</v>
      </c>
    </row>
    <row r="69" spans="1:12">
      <c r="A69" s="19" t="s">
        <v>96</v>
      </c>
      <c r="B69" s="19" t="s">
        <v>95</v>
      </c>
      <c r="C69" s="7"/>
      <c r="D69" s="30" t="str">
        <f>IF(C69="","",C69/'Start Here'!$B$10)</f>
        <v/>
      </c>
      <c r="E69" s="31">
        <v>2</v>
      </c>
      <c r="F69" s="31">
        <v>0</v>
      </c>
      <c r="G69" s="31">
        <v>0</v>
      </c>
      <c r="H69" s="31"/>
      <c r="I69" s="31">
        <f t="shared" si="20"/>
        <v>2</v>
      </c>
      <c r="J69" s="22" t="str">
        <f t="shared" si="21"/>
        <v/>
      </c>
      <c r="K69" s="19">
        <f t="shared" si="22"/>
        <v>0</v>
      </c>
      <c r="L69" s="8" t="str">
        <f t="shared" si="23"/>
        <v>Set Goal</v>
      </c>
    </row>
    <row r="70" spans="1:12">
      <c r="A70" s="19" t="s">
        <v>97</v>
      </c>
      <c r="B70" s="19" t="s">
        <v>95</v>
      </c>
      <c r="C70" s="7">
        <v>5000</v>
      </c>
      <c r="D70" s="21">
        <f>IF(C70="","",C70/'Start Here'!$B$10)</f>
        <v>1250</v>
      </c>
      <c r="E70" s="21"/>
      <c r="F70" s="31"/>
      <c r="G70" s="31"/>
      <c r="H70" s="31"/>
      <c r="I70" s="21">
        <f t="shared" si="20"/>
        <v>0</v>
      </c>
      <c r="J70" s="22">
        <f t="shared" si="21"/>
        <v>0</v>
      </c>
      <c r="K70" s="19" t="str">
        <f t="shared" si="22"/>
        <v/>
      </c>
      <c r="L70" s="8" t="str">
        <f t="shared" si="23"/>
        <v>No Data</v>
      </c>
    </row>
    <row r="71" spans="1:12">
      <c r="A71" s="19" t="s">
        <v>98</v>
      </c>
      <c r="B71" s="19" t="s">
        <v>55</v>
      </c>
      <c r="C71" s="7">
        <v>5000</v>
      </c>
      <c r="D71" s="21">
        <f>IF(C71="","",C71/'Start Here'!$B$10)</f>
        <v>1250</v>
      </c>
      <c r="E71" s="21"/>
      <c r="F71" s="21">
        <v>10222</v>
      </c>
      <c r="G71" s="21"/>
      <c r="H71" s="21"/>
      <c r="I71" s="21">
        <f t="shared" si="20"/>
        <v>10222</v>
      </c>
      <c r="J71" s="22">
        <f t="shared" si="21"/>
        <v>2.0444</v>
      </c>
      <c r="K71" s="19">
        <f t="shared" si="22"/>
        <v>10222</v>
      </c>
      <c r="L71" s="8" t="str">
        <f t="shared" si="23"/>
        <v>GREEN</v>
      </c>
    </row>
    <row r="73" spans="1:12" ht="19.5" customHeight="1">
      <c r="A73" s="45" t="s">
        <v>70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 ht="27.75" customHeight="1">
      <c r="A74" s="6" t="s">
        <v>40</v>
      </c>
      <c r="B74" s="6" t="s">
        <v>41</v>
      </c>
      <c r="C74" s="6" t="s">
        <v>42</v>
      </c>
      <c r="D74" s="6" t="s">
        <v>43</v>
      </c>
      <c r="E74" s="6" t="s">
        <v>44</v>
      </c>
      <c r="F74" s="6" t="s">
        <v>45</v>
      </c>
      <c r="G74" s="6" t="s">
        <v>46</v>
      </c>
      <c r="H74" s="6" t="s">
        <v>47</v>
      </c>
      <c r="I74" s="6" t="s">
        <v>48</v>
      </c>
      <c r="J74" s="6" t="s">
        <v>49</v>
      </c>
      <c r="K74" s="6" t="s">
        <v>50</v>
      </c>
      <c r="L74" s="6" t="s">
        <v>51</v>
      </c>
    </row>
    <row r="75" spans="1:12">
      <c r="A75" s="19" t="s">
        <v>107</v>
      </c>
      <c r="B75" s="13" t="s">
        <v>108</v>
      </c>
      <c r="C75" s="7"/>
      <c r="D75" s="21" t="str">
        <f>IF(C75="","",C75/'Start Here'!$B$10)</f>
        <v/>
      </c>
      <c r="E75" s="21"/>
      <c r="F75" s="21"/>
      <c r="G75" s="21"/>
      <c r="H75" s="21"/>
      <c r="I75" s="21">
        <f t="shared" ref="I75:I87" si="24">SUM(E75:H75)</f>
        <v>0</v>
      </c>
      <c r="J75" s="22" t="str">
        <f t="shared" ref="J75:J87" si="25">IF(OR(C75="",C75=0),"",I75/C75)</f>
        <v/>
      </c>
      <c r="K75" s="19" t="str">
        <f t="shared" ref="K75:K87" si="26">IFERROR(LOOKUP(2,1/(E75:H75&lt;&gt;""),E75:H75),"")</f>
        <v/>
      </c>
      <c r="L75" s="8" t="str">
        <f t="shared" ref="L75:L87" si="27">IF(D75="","Set Goal",IF(K75="","No Data",IF(K75&gt;=D75,"GREEN",IF(K75&gt;=0.85*D75,"YELLOW","RED"))))</f>
        <v>Set Goal</v>
      </c>
    </row>
    <row r="76" spans="1:12">
      <c r="A76" s="19" t="s">
        <v>109</v>
      </c>
      <c r="B76" s="13" t="s">
        <v>108</v>
      </c>
      <c r="C76" s="7"/>
      <c r="D76" s="21" t="str">
        <f>IF(C76="","",C76/'Start Here'!$B$10)</f>
        <v/>
      </c>
      <c r="E76" s="21"/>
      <c r="F76" s="21"/>
      <c r="G76" s="21"/>
      <c r="H76" s="21"/>
      <c r="I76" s="21">
        <f t="shared" si="24"/>
        <v>0</v>
      </c>
      <c r="J76" s="22" t="str">
        <f t="shared" si="25"/>
        <v/>
      </c>
      <c r="K76" s="19" t="str">
        <f t="shared" si="26"/>
        <v/>
      </c>
      <c r="L76" s="8" t="str">
        <f t="shared" si="27"/>
        <v>Set Goal</v>
      </c>
    </row>
    <row r="77" spans="1:12">
      <c r="A77" s="19" t="s">
        <v>110</v>
      </c>
      <c r="B77" s="13" t="s">
        <v>108</v>
      </c>
      <c r="C77" s="7"/>
      <c r="D77" s="21" t="str">
        <f>IF(C77="","",C77/'Start Here'!$B$10)</f>
        <v/>
      </c>
      <c r="E77" s="21"/>
      <c r="F77" s="21"/>
      <c r="G77" s="21"/>
      <c r="H77" s="21"/>
      <c r="I77" s="21">
        <f t="shared" si="24"/>
        <v>0</v>
      </c>
      <c r="J77" s="22" t="str">
        <f t="shared" si="25"/>
        <v/>
      </c>
      <c r="K77" s="19" t="str">
        <f t="shared" si="26"/>
        <v/>
      </c>
      <c r="L77" s="8" t="str">
        <f t="shared" si="27"/>
        <v>Set Goal</v>
      </c>
    </row>
    <row r="78" spans="1:12">
      <c r="A78" s="19" t="s">
        <v>89</v>
      </c>
      <c r="B78" s="19" t="s">
        <v>106</v>
      </c>
      <c r="C78" s="7"/>
      <c r="D78" s="21" t="str">
        <f>IF(C78="","",C78/'Start Here'!$B$10)</f>
        <v/>
      </c>
      <c r="E78" s="21">
        <v>0</v>
      </c>
      <c r="F78" s="21"/>
      <c r="G78" s="21"/>
      <c r="H78" s="21"/>
      <c r="I78" s="21">
        <f t="shared" si="24"/>
        <v>0</v>
      </c>
      <c r="J78" s="22" t="str">
        <f t="shared" si="25"/>
        <v/>
      </c>
      <c r="K78" s="19">
        <f t="shared" si="26"/>
        <v>0</v>
      </c>
      <c r="L78" s="8" t="str">
        <f t="shared" si="27"/>
        <v>Set Goal</v>
      </c>
    </row>
    <row r="79" spans="1:12">
      <c r="A79" s="19" t="s">
        <v>91</v>
      </c>
      <c r="B79" s="19" t="s">
        <v>106</v>
      </c>
      <c r="C79" s="7"/>
      <c r="D79" s="28" t="str">
        <f>IF(C79="","",C79/'Start Here'!$B$10)</f>
        <v/>
      </c>
      <c r="E79" s="28">
        <v>0</v>
      </c>
      <c r="F79" s="28"/>
      <c r="G79" s="28"/>
      <c r="H79" s="28"/>
      <c r="I79" s="21">
        <f t="shared" si="24"/>
        <v>0</v>
      </c>
      <c r="J79" s="22" t="str">
        <f t="shared" si="25"/>
        <v/>
      </c>
      <c r="K79" s="19">
        <f t="shared" si="26"/>
        <v>0</v>
      </c>
      <c r="L79" s="8" t="str">
        <f t="shared" si="27"/>
        <v>Set Goal</v>
      </c>
    </row>
    <row r="80" spans="1:12">
      <c r="A80" s="19" t="s">
        <v>92</v>
      </c>
      <c r="B80" s="19" t="s">
        <v>106</v>
      </c>
      <c r="C80" s="7">
        <v>49000</v>
      </c>
      <c r="D80" s="21">
        <f>IF(C80="","",C80/'Start Here'!$B$10)</f>
        <v>12250</v>
      </c>
      <c r="E80" s="21">
        <v>0</v>
      </c>
      <c r="F80" s="21"/>
      <c r="G80" s="21"/>
      <c r="H80" s="21"/>
      <c r="I80" s="21">
        <f t="shared" si="24"/>
        <v>0</v>
      </c>
      <c r="J80" s="22">
        <f t="shared" si="25"/>
        <v>0</v>
      </c>
      <c r="K80" s="19">
        <f t="shared" si="26"/>
        <v>0</v>
      </c>
      <c r="L80" s="8" t="str">
        <f t="shared" si="27"/>
        <v>RED</v>
      </c>
    </row>
    <row r="81" spans="1:12">
      <c r="A81" s="19" t="s">
        <v>93</v>
      </c>
      <c r="B81" s="19" t="s">
        <v>106</v>
      </c>
      <c r="C81" s="7"/>
      <c r="D81" s="21" t="str">
        <f>IF(C81="","",C81/'Start Here'!$B$10)</f>
        <v/>
      </c>
      <c r="E81" s="21">
        <v>0</v>
      </c>
      <c r="F81" s="21"/>
      <c r="G81" s="21"/>
      <c r="H81" s="21"/>
      <c r="I81" s="21">
        <f t="shared" si="24"/>
        <v>0</v>
      </c>
      <c r="J81" s="22" t="str">
        <f t="shared" si="25"/>
        <v/>
      </c>
      <c r="K81" s="19">
        <f t="shared" si="26"/>
        <v>0</v>
      </c>
      <c r="L81" s="8" t="str">
        <f t="shared" si="27"/>
        <v>Set Goal</v>
      </c>
    </row>
    <row r="82" spans="1:12">
      <c r="A82" s="19" t="s">
        <v>94</v>
      </c>
      <c r="B82" s="19" t="s">
        <v>95</v>
      </c>
      <c r="C82" s="7">
        <v>49000</v>
      </c>
      <c r="D82" s="21">
        <f>IF(C82="","",C82/'Start Here'!$B$10)</f>
        <v>12250</v>
      </c>
      <c r="E82" s="43">
        <v>5765</v>
      </c>
      <c r="F82" s="21">
        <v>0</v>
      </c>
      <c r="G82" s="21"/>
      <c r="H82" s="21"/>
      <c r="I82" s="21">
        <f t="shared" si="24"/>
        <v>5765</v>
      </c>
      <c r="J82" s="22">
        <f t="shared" si="25"/>
        <v>0.11765306122448979</v>
      </c>
      <c r="K82" s="19">
        <f t="shared" si="26"/>
        <v>0</v>
      </c>
      <c r="L82" s="8" t="str">
        <f t="shared" si="27"/>
        <v>RED</v>
      </c>
    </row>
    <row r="83" spans="1:12">
      <c r="A83" s="19" t="s">
        <v>96</v>
      </c>
      <c r="B83" s="19" t="s">
        <v>95</v>
      </c>
      <c r="C83" s="7"/>
      <c r="D83" s="21" t="str">
        <f>IF(C83="","",C83/'Start Here'!$B$10)</f>
        <v/>
      </c>
      <c r="E83" s="31">
        <v>0</v>
      </c>
      <c r="F83" s="31">
        <v>1</v>
      </c>
      <c r="G83" s="31">
        <v>0</v>
      </c>
      <c r="H83" s="31"/>
      <c r="I83" s="31">
        <f t="shared" si="24"/>
        <v>1</v>
      </c>
      <c r="J83" s="22" t="str">
        <f t="shared" si="25"/>
        <v/>
      </c>
      <c r="K83" s="19">
        <f t="shared" si="26"/>
        <v>0</v>
      </c>
      <c r="L83" s="8" t="str">
        <f t="shared" si="27"/>
        <v>Set Goal</v>
      </c>
    </row>
    <row r="84" spans="1:12">
      <c r="A84" s="19" t="s">
        <v>97</v>
      </c>
      <c r="B84" s="19" t="s">
        <v>95</v>
      </c>
      <c r="C84" s="7">
        <v>49000</v>
      </c>
      <c r="D84" s="21">
        <f>IF(C84="","",C84/'Start Here'!$B$10)</f>
        <v>12250</v>
      </c>
      <c r="E84" s="21"/>
      <c r="F84" s="21"/>
      <c r="G84" s="21"/>
      <c r="H84" s="21"/>
      <c r="I84" s="21">
        <f t="shared" si="24"/>
        <v>0</v>
      </c>
      <c r="J84" s="22">
        <f t="shared" si="25"/>
        <v>0</v>
      </c>
      <c r="K84" s="19" t="str">
        <f t="shared" si="26"/>
        <v/>
      </c>
      <c r="L84" s="8" t="str">
        <f t="shared" si="27"/>
        <v>No Data</v>
      </c>
    </row>
    <row r="85" spans="1:12">
      <c r="A85" s="19" t="s">
        <v>98</v>
      </c>
      <c r="B85" s="19" t="s">
        <v>55</v>
      </c>
      <c r="C85" s="7">
        <v>49000</v>
      </c>
      <c r="D85" s="21">
        <f>IF(C85="","",C85/'Start Here'!$B$10)</f>
        <v>12250</v>
      </c>
      <c r="E85" s="21"/>
      <c r="F85" s="21"/>
      <c r="G85" s="21"/>
      <c r="H85" s="21"/>
      <c r="I85" s="21">
        <f t="shared" si="24"/>
        <v>0</v>
      </c>
      <c r="J85" s="22">
        <f t="shared" si="25"/>
        <v>0</v>
      </c>
      <c r="K85" s="19" t="str">
        <f t="shared" si="26"/>
        <v/>
      </c>
      <c r="L85" s="8" t="str">
        <f t="shared" si="27"/>
        <v>No Data</v>
      </c>
    </row>
    <row r="86" spans="1:12">
      <c r="A86" s="19" t="s">
        <v>111</v>
      </c>
      <c r="B86" s="19" t="s">
        <v>55</v>
      </c>
      <c r="C86" s="7"/>
      <c r="D86" s="21" t="str">
        <f>IF(C86="","",C86/'Start Here'!$B$10)</f>
        <v/>
      </c>
      <c r="E86" s="21"/>
      <c r="F86" s="21">
        <v>10898.33</v>
      </c>
      <c r="G86" s="21"/>
      <c r="H86" s="21"/>
      <c r="I86" s="21">
        <f t="shared" si="24"/>
        <v>10898.33</v>
      </c>
      <c r="J86" s="22" t="str">
        <f t="shared" si="25"/>
        <v/>
      </c>
      <c r="K86" s="19">
        <f t="shared" si="26"/>
        <v>10898.33</v>
      </c>
      <c r="L86" s="8" t="str">
        <f t="shared" si="27"/>
        <v>Set Goal</v>
      </c>
    </row>
    <row r="87" spans="1:12">
      <c r="A87" s="19" t="s">
        <v>112</v>
      </c>
      <c r="B87" s="19" t="s">
        <v>95</v>
      </c>
      <c r="C87" s="7"/>
      <c r="D87" s="21" t="str">
        <f>IF(C87="","",C87/'Start Here'!$B$10)</f>
        <v/>
      </c>
      <c r="E87" s="21"/>
      <c r="F87" s="21"/>
      <c r="G87" s="21"/>
      <c r="H87" s="21"/>
      <c r="I87" s="21">
        <f t="shared" si="24"/>
        <v>0</v>
      </c>
      <c r="J87" s="22" t="str">
        <f t="shared" si="25"/>
        <v/>
      </c>
      <c r="K87" s="19" t="str">
        <f t="shared" si="26"/>
        <v/>
      </c>
      <c r="L87" s="8" t="str">
        <f t="shared" si="27"/>
        <v>Set Goal</v>
      </c>
    </row>
    <row r="89" spans="1:12" ht="19.5" customHeight="1">
      <c r="A89" s="45" t="s">
        <v>71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 ht="27.75" customHeight="1">
      <c r="A90" s="6" t="s">
        <v>40</v>
      </c>
      <c r="B90" s="6" t="s">
        <v>41</v>
      </c>
      <c r="C90" s="6" t="s">
        <v>42</v>
      </c>
      <c r="D90" s="6" t="s">
        <v>43</v>
      </c>
      <c r="E90" s="6" t="s">
        <v>44</v>
      </c>
      <c r="F90" s="6" t="s">
        <v>45</v>
      </c>
      <c r="G90" s="6" t="s">
        <v>46</v>
      </c>
      <c r="H90" s="6" t="s">
        <v>47</v>
      </c>
      <c r="I90" s="6" t="s">
        <v>48</v>
      </c>
      <c r="J90" s="6" t="s">
        <v>49</v>
      </c>
      <c r="K90" s="6" t="s">
        <v>50</v>
      </c>
      <c r="L90" s="6" t="s">
        <v>51</v>
      </c>
    </row>
    <row r="91" spans="1:12">
      <c r="A91" s="19" t="s">
        <v>89</v>
      </c>
      <c r="B91" s="19" t="s">
        <v>106</v>
      </c>
      <c r="C91" s="7"/>
      <c r="D91" s="21" t="str">
        <f>IF(C91="","",C91/'Start Here'!$B$10)</f>
        <v/>
      </c>
      <c r="E91" s="21">
        <v>0</v>
      </c>
      <c r="F91" s="21"/>
      <c r="G91" s="21"/>
      <c r="H91" s="21"/>
      <c r="I91" s="21">
        <f t="shared" ref="I91:I98" si="28">SUM(E91:H91)</f>
        <v>0</v>
      </c>
      <c r="J91" s="22" t="str">
        <f t="shared" ref="J91:J98" si="29">IF(OR(C91="",C91=0),"",I91/C91)</f>
        <v/>
      </c>
      <c r="K91" s="19">
        <f t="shared" ref="K91:K98" si="30">IFERROR(LOOKUP(2,1/(E91:H91&lt;&gt;""),E91:H91),"")</f>
        <v>0</v>
      </c>
      <c r="L91" s="8" t="str">
        <f t="shared" ref="L91:L98" si="31">IF(D91="","Set Goal",IF(K91="","No Data",IF(K91&gt;=D91,"GREEN",IF(K91&gt;=0.85*D91,"YELLOW","RED"))))</f>
        <v>Set Goal</v>
      </c>
    </row>
    <row r="92" spans="1:12">
      <c r="A92" s="19" t="s">
        <v>91</v>
      </c>
      <c r="B92" s="19" t="s">
        <v>106</v>
      </c>
      <c r="C92" s="7"/>
      <c r="D92" s="21" t="str">
        <f>IF(C92="","",C92/'Start Here'!$B$10)</f>
        <v/>
      </c>
      <c r="E92" s="21">
        <v>0</v>
      </c>
      <c r="F92" s="21"/>
      <c r="G92" s="21"/>
      <c r="H92" s="21"/>
      <c r="I92" s="21">
        <f t="shared" si="28"/>
        <v>0</v>
      </c>
      <c r="J92" s="22" t="str">
        <f t="shared" si="29"/>
        <v/>
      </c>
      <c r="K92" s="19">
        <f t="shared" si="30"/>
        <v>0</v>
      </c>
      <c r="L92" s="8" t="str">
        <f t="shared" si="31"/>
        <v>Set Goal</v>
      </c>
    </row>
    <row r="93" spans="1:12">
      <c r="A93" s="19" t="s">
        <v>92</v>
      </c>
      <c r="B93" s="19" t="s">
        <v>106</v>
      </c>
      <c r="C93" s="7">
        <v>1000</v>
      </c>
      <c r="D93" s="21">
        <f>IF(C93="","",C93/'Start Here'!$B$10)</f>
        <v>250</v>
      </c>
      <c r="E93" s="21">
        <v>0</v>
      </c>
      <c r="F93" s="21"/>
      <c r="G93" s="21"/>
      <c r="H93" s="21"/>
      <c r="I93" s="21">
        <f t="shared" si="28"/>
        <v>0</v>
      </c>
      <c r="J93" s="22">
        <f t="shared" si="29"/>
        <v>0</v>
      </c>
      <c r="K93" s="19">
        <f t="shared" si="30"/>
        <v>0</v>
      </c>
      <c r="L93" s="8" t="str">
        <f t="shared" si="31"/>
        <v>RED</v>
      </c>
    </row>
    <row r="94" spans="1:12">
      <c r="A94" s="19" t="s">
        <v>93</v>
      </c>
      <c r="B94" s="19" t="s">
        <v>106</v>
      </c>
      <c r="C94" s="7"/>
      <c r="D94" s="21" t="str">
        <f>IF(C94="","",C94/'Start Here'!$B$10)</f>
        <v/>
      </c>
      <c r="E94" s="21">
        <v>0</v>
      </c>
      <c r="F94" s="21"/>
      <c r="G94" s="21"/>
      <c r="H94" s="21"/>
      <c r="I94" s="21">
        <f t="shared" si="28"/>
        <v>0</v>
      </c>
      <c r="J94" s="22" t="str">
        <f t="shared" si="29"/>
        <v/>
      </c>
      <c r="K94" s="19">
        <f t="shared" si="30"/>
        <v>0</v>
      </c>
      <c r="L94" s="8" t="str">
        <f t="shared" si="31"/>
        <v>Set Goal</v>
      </c>
    </row>
    <row r="95" spans="1:12">
      <c r="A95" s="19" t="s">
        <v>94</v>
      </c>
      <c r="B95" s="19" t="s">
        <v>95</v>
      </c>
      <c r="C95" s="7">
        <v>5000</v>
      </c>
      <c r="D95" s="21">
        <f>IF(C95="","",C95/'Start Here'!$B$10)</f>
        <v>1250</v>
      </c>
      <c r="E95" s="21">
        <v>0</v>
      </c>
      <c r="F95" s="21">
        <v>0</v>
      </c>
      <c r="G95" s="21"/>
      <c r="H95" s="21"/>
      <c r="I95" s="21">
        <f t="shared" si="28"/>
        <v>0</v>
      </c>
      <c r="J95" s="22">
        <f t="shared" si="29"/>
        <v>0</v>
      </c>
      <c r="K95" s="19">
        <f t="shared" si="30"/>
        <v>0</v>
      </c>
      <c r="L95" s="8" t="str">
        <f t="shared" si="31"/>
        <v>RED</v>
      </c>
    </row>
    <row r="96" spans="1:12">
      <c r="A96" s="19" t="s">
        <v>96</v>
      </c>
      <c r="B96" s="19" t="s">
        <v>95</v>
      </c>
      <c r="C96" s="7"/>
      <c r="D96" s="21" t="str">
        <f>IF(C96="","",C96/'Start Here'!$B$10)</f>
        <v/>
      </c>
      <c r="E96" s="31">
        <v>7</v>
      </c>
      <c r="F96" s="31">
        <v>0</v>
      </c>
      <c r="G96" s="31">
        <v>0</v>
      </c>
      <c r="H96" s="31">
        <v>5</v>
      </c>
      <c r="I96" s="31">
        <f t="shared" si="28"/>
        <v>12</v>
      </c>
      <c r="J96" s="22" t="str">
        <f t="shared" si="29"/>
        <v/>
      </c>
      <c r="K96" s="19">
        <f t="shared" si="30"/>
        <v>5</v>
      </c>
      <c r="L96" s="8" t="str">
        <f t="shared" si="31"/>
        <v>Set Goal</v>
      </c>
    </row>
    <row r="97" spans="1:12">
      <c r="A97" s="19" t="s">
        <v>97</v>
      </c>
      <c r="B97" s="19" t="s">
        <v>95</v>
      </c>
      <c r="C97" s="7">
        <v>5000</v>
      </c>
      <c r="D97" s="21">
        <f>IF(C97="","",C97/'Start Here'!$B$10)</f>
        <v>1250</v>
      </c>
      <c r="E97" s="21"/>
      <c r="F97" s="21"/>
      <c r="G97" s="21"/>
      <c r="H97" s="21"/>
      <c r="I97" s="21">
        <f t="shared" si="28"/>
        <v>0</v>
      </c>
      <c r="J97" s="22">
        <f t="shared" si="29"/>
        <v>0</v>
      </c>
      <c r="K97" s="19" t="str">
        <f t="shared" si="30"/>
        <v/>
      </c>
      <c r="L97" s="8" t="str">
        <f t="shared" si="31"/>
        <v>No Data</v>
      </c>
    </row>
    <row r="98" spans="1:12">
      <c r="A98" s="19" t="s">
        <v>98</v>
      </c>
      <c r="B98" s="19" t="s">
        <v>55</v>
      </c>
      <c r="C98" s="7">
        <v>5000</v>
      </c>
      <c r="D98" s="21">
        <f>IF(C98="","",C98/'Start Here'!$B$10)</f>
        <v>1250</v>
      </c>
      <c r="E98" s="21">
        <v>2047.5</v>
      </c>
      <c r="F98" s="21">
        <v>1486</v>
      </c>
      <c r="G98" s="21"/>
      <c r="H98" s="21"/>
      <c r="I98" s="21">
        <f t="shared" si="28"/>
        <v>3533.5</v>
      </c>
      <c r="J98" s="22">
        <f t="shared" si="29"/>
        <v>0.70669999999999999</v>
      </c>
      <c r="K98" s="19">
        <f t="shared" si="30"/>
        <v>1486</v>
      </c>
      <c r="L98" s="8" t="str">
        <f t="shared" si="31"/>
        <v>GREEN</v>
      </c>
    </row>
  </sheetData>
  <mergeCells count="10">
    <mergeCell ref="A1:L1"/>
    <mergeCell ref="A2:L2"/>
    <mergeCell ref="A4:L4"/>
    <mergeCell ref="A15:L15"/>
    <mergeCell ref="A26:L26"/>
    <mergeCell ref="A40:L40"/>
    <mergeCell ref="A51:L51"/>
    <mergeCell ref="A62:L62"/>
    <mergeCell ref="A73:L73"/>
    <mergeCell ref="A89:L89"/>
  </mergeCells>
  <conditionalFormatting sqref="E47 E9:H10 E12:H13 F11:H11">
    <cfRule type="expression" dxfId="46" priority="7">
      <formula>AND(E9&lt;&gt;"",$D9&lt;&gt;"",E9&gt;=$D9)</formula>
    </cfRule>
    <cfRule type="expression" dxfId="45" priority="8">
      <formula>AND(E9&lt;&gt;"",$D9&lt;&gt;"",E9&gt;=0.85*$D9,E9&lt;$D9)</formula>
    </cfRule>
    <cfRule type="expression" dxfId="44" priority="9">
      <formula>AND(E9&lt;&gt;"",$D9&lt;&gt;"",E9&lt;0.85*$D9)</formula>
    </cfRule>
  </conditionalFormatting>
  <conditionalFormatting sqref="E6:H6 F46:H47 E48:H49">
    <cfRule type="expression" dxfId="43" priority="11">
      <formula>AND(E6&lt;&gt;"",$D6&lt;&gt;"",E6&gt;=$D6)</formula>
    </cfRule>
    <cfRule type="expression" dxfId="42" priority="12">
      <formula>AND(E6&lt;&gt;"",$D6&lt;&gt;"",E6&gt;=0.85*$D6,E6&lt;$D6)</formula>
    </cfRule>
    <cfRule type="expression" dxfId="41" priority="13">
      <formula>AND(E6&lt;&gt;"",$D6&lt;&gt;"",E6&lt;0.85*$D6)</formula>
    </cfRule>
  </conditionalFormatting>
  <conditionalFormatting sqref="E7:H7">
    <cfRule type="expression" dxfId="40" priority="47">
      <formula>AND(E7&lt;&gt;"",$D8&lt;&gt;"",E7&gt;=$D8)</formula>
    </cfRule>
    <cfRule type="expression" dxfId="39" priority="48">
      <formula>AND(E7&lt;&gt;"",$D8&lt;&gt;"",E7&gt;=0.85*$D8,E7&lt;$D8)</formula>
    </cfRule>
    <cfRule type="expression" dxfId="38" priority="49">
      <formula>AND(E7&lt;&gt;"",$D8&lt;&gt;"",E7&lt;0.85*$D8)</formula>
    </cfRule>
  </conditionalFormatting>
  <conditionalFormatting sqref="E8:H8">
    <cfRule type="expression" dxfId="37" priority="56">
      <formula>AND(E8&lt;&gt;"",#REF!&lt;&gt;"",E8&gt;=#REF!)</formula>
    </cfRule>
    <cfRule type="expression" dxfId="36" priority="57">
      <formula>AND(E8&lt;&gt;"",#REF!&lt;&gt;"",E8&gt;=0.85*#REF!,E8&lt;#REF!)</formula>
    </cfRule>
    <cfRule type="expression" dxfId="35" priority="58">
      <formula>AND(E8&lt;&gt;"",#REF!&lt;&gt;"",E8&lt;0.85*#REF!)</formula>
    </cfRule>
  </conditionalFormatting>
  <conditionalFormatting sqref="E17:H24">
    <cfRule type="expression" dxfId="34" priority="14">
      <formula>AND(E17&lt;&gt;"",$D17&lt;&gt;"",E17&gt;=$D17)</formula>
    </cfRule>
    <cfRule type="expression" dxfId="33" priority="15">
      <formula>AND(E17&lt;&gt;"",$D17&lt;&gt;"",E17&gt;=0.85*$D17,E17&lt;$D17)</formula>
    </cfRule>
    <cfRule type="expression" dxfId="32" priority="16">
      <formula>AND(E17&lt;&gt;"",$D17&lt;&gt;"",E17&lt;0.85*$D17)</formula>
    </cfRule>
  </conditionalFormatting>
  <conditionalFormatting sqref="E28:H38">
    <cfRule type="expression" dxfId="31" priority="17">
      <formula>AND(E28&lt;&gt;"",$D28&lt;&gt;"",E28&gt;=$D28)</formula>
    </cfRule>
    <cfRule type="expression" dxfId="30" priority="18">
      <formula>AND(E28&lt;&gt;"",$D28&lt;&gt;"",E28&gt;=0.85*$D28,E28&lt;$D28)</formula>
    </cfRule>
    <cfRule type="expression" dxfId="29" priority="19">
      <formula>AND(E28&lt;&gt;"",$D28&lt;&gt;"",E28&lt;0.85*$D28)</formula>
    </cfRule>
  </conditionalFormatting>
  <conditionalFormatting sqref="E42:H45">
    <cfRule type="expression" dxfId="28" priority="4">
      <formula>AND(E42&lt;&gt;"",$D42&lt;&gt;"",E42&gt;=$D42)</formula>
    </cfRule>
    <cfRule type="expression" dxfId="27" priority="5">
      <formula>AND(E42&lt;&gt;"",$D42&lt;&gt;"",E42&gt;=0.85*$D42,E42&lt;$D42)</formula>
    </cfRule>
    <cfRule type="expression" dxfId="26" priority="6">
      <formula>AND(E42&lt;&gt;"",$D42&lt;&gt;"",E42&lt;0.85*$D42)</formula>
    </cfRule>
  </conditionalFormatting>
  <conditionalFormatting sqref="E53:H60">
    <cfRule type="expression" dxfId="25" priority="26">
      <formula>AND(E53&lt;&gt;"",$D53&lt;&gt;"",E53&gt;=$D53)</formula>
    </cfRule>
    <cfRule type="expression" dxfId="24" priority="27">
      <formula>AND(E53&lt;&gt;"",$D53&lt;&gt;"",E53&gt;=0.85*$D53,E53&lt;$D53)</formula>
    </cfRule>
    <cfRule type="expression" dxfId="23" priority="28">
      <formula>AND(E53&lt;&gt;"",$D53&lt;&gt;"",E53&lt;0.85*$D53)</formula>
    </cfRule>
  </conditionalFormatting>
  <conditionalFormatting sqref="E64:H71">
    <cfRule type="expression" dxfId="22" priority="29">
      <formula>AND(E64&lt;&gt;"",$D64&lt;&gt;"",E64&gt;=$D64)</formula>
    </cfRule>
    <cfRule type="expression" dxfId="21" priority="30">
      <formula>AND(E64&lt;&gt;"",$D64&lt;&gt;"",E64&gt;=0.85*$D64,E64&lt;$D64)</formula>
    </cfRule>
    <cfRule type="expression" dxfId="20" priority="31">
      <formula>AND(E64&lt;&gt;"",$D64&lt;&gt;"",E64&lt;0.85*$D64)</formula>
    </cfRule>
  </conditionalFormatting>
  <conditionalFormatting sqref="E75:H87">
    <cfRule type="expression" dxfId="19" priority="32">
      <formula>AND(E75&lt;&gt;"",$D75&lt;&gt;"",E75&gt;=$D75)</formula>
    </cfRule>
    <cfRule type="expression" dxfId="18" priority="33">
      <formula>AND(E75&lt;&gt;"",$D75&lt;&gt;"",E75&gt;=0.85*$D75,E75&lt;$D75)</formula>
    </cfRule>
    <cfRule type="expression" dxfId="17" priority="34">
      <formula>AND(E75&lt;&gt;"",$D75&lt;&gt;"",E75&lt;0.85*$D75)</formula>
    </cfRule>
  </conditionalFormatting>
  <conditionalFormatting sqref="E91:H98">
    <cfRule type="expression" dxfId="16" priority="41">
      <formula>AND(E91&lt;&gt;"",$D91&lt;&gt;"",E91&gt;=$D91)</formula>
    </cfRule>
    <cfRule type="expression" dxfId="15" priority="42">
      <formula>AND(E91&lt;&gt;"",$D91&lt;&gt;"",E91&gt;=0.85*$D91,E91&lt;$D91)</formula>
    </cfRule>
    <cfRule type="expression" dxfId="14" priority="43">
      <formula>AND(E91&lt;&gt;"",$D91&lt;&gt;"",E91&lt;0.85*$D91)</formula>
    </cfRule>
  </conditionalFormatting>
  <conditionalFormatting sqref="E46">
    <cfRule type="expression" dxfId="13" priority="1">
      <formula>AND(E46&lt;&gt;"",$D46&lt;&gt;"",E46&gt;=$D46)</formula>
    </cfRule>
    <cfRule type="expression" dxfId="12" priority="2">
      <formula>AND(E46&lt;&gt;"",$D46&lt;&gt;"",E46&gt;=0.85*$D46,E46&lt;$D46)</formula>
    </cfRule>
    <cfRule type="expression" dxfId="11" priority="3">
      <formula>AND(E46&lt;&gt;"",$D46&lt;&gt;"",E46&lt;0.85*$D46)</formula>
    </cfRule>
  </conditionalFormatting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L14"/>
  <sheetViews>
    <sheetView showGridLines="0" zoomScaleNormal="100" workbookViewId="0">
      <pane ySplit="4" topLeftCell="A5" activePane="bottomLeft" state="frozen"/>
      <selection pane="bottomLeft" activeCell="E17" sqref="E17"/>
    </sheetView>
  </sheetViews>
  <sheetFormatPr defaultColWidth="8.5703125" defaultRowHeight="15"/>
  <cols>
    <col min="1" max="1" width="30" customWidth="1"/>
    <col min="2" max="2" width="34.140625" bestFit="1" customWidth="1"/>
    <col min="3" max="4" width="13" customWidth="1"/>
    <col min="5" max="8" width="11" customWidth="1"/>
    <col min="9" max="9" width="13" customWidth="1"/>
    <col min="10" max="10" width="12" customWidth="1"/>
    <col min="11" max="12" width="11" customWidth="1"/>
  </cols>
  <sheetData>
    <row r="1" spans="1:12" ht="27.75" customHeight="1">
      <c r="A1" s="46" t="s">
        <v>58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s="47" t="s">
        <v>113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1:12" ht="19.5" customHeight="1">
      <c r="A4" s="45" t="s">
        <v>114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7.75" customHeight="1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</row>
    <row r="6" spans="1:12">
      <c r="A6" s="19" t="s">
        <v>115</v>
      </c>
      <c r="B6" s="13" t="s">
        <v>116</v>
      </c>
      <c r="C6" s="7">
        <v>300000</v>
      </c>
      <c r="D6" s="21">
        <f>IF(C6="","",C6/'Start Here'!$B$10)</f>
        <v>75000</v>
      </c>
      <c r="E6" s="21">
        <v>0</v>
      </c>
      <c r="F6" s="21">
        <v>0</v>
      </c>
      <c r="G6" s="21"/>
      <c r="H6" s="21"/>
      <c r="I6" s="21">
        <f t="shared" ref="I6:I12" si="0">SUM(E6:H6)</f>
        <v>0</v>
      </c>
      <c r="J6" s="22">
        <f t="shared" ref="J6:J12" si="1">IF(OR(C6="",C6=0),"",I6/C6)</f>
        <v>0</v>
      </c>
      <c r="K6" s="19">
        <f t="shared" ref="K6:K12" si="2">IFERROR(LOOKUP(2,1/(E6:H6&lt;&gt;""),E6:H6),"")</f>
        <v>0</v>
      </c>
      <c r="L6" s="8" t="str">
        <f t="shared" ref="L6:L12" si="3">IF(D6="","Set Goal",IF(K6="","No Data",IF(K6&gt;=D6,"GREEN",IF(K6&gt;=0.85*D6,"YELLOW","RED"))))</f>
        <v>RED</v>
      </c>
    </row>
    <row r="7" spans="1:12">
      <c r="A7" s="19" t="s">
        <v>117</v>
      </c>
      <c r="B7" s="13" t="s">
        <v>118</v>
      </c>
      <c r="C7" s="7"/>
      <c r="D7" s="21" t="str">
        <f>IF(C7="","",C7/'Start Here'!$B$10)</f>
        <v/>
      </c>
      <c r="E7" s="21">
        <v>0</v>
      </c>
      <c r="F7" s="21"/>
      <c r="G7" s="21"/>
      <c r="H7" s="21"/>
      <c r="I7" s="21">
        <f t="shared" si="0"/>
        <v>0</v>
      </c>
      <c r="J7" s="22" t="str">
        <f t="shared" si="1"/>
        <v/>
      </c>
      <c r="K7" s="19">
        <f t="shared" si="2"/>
        <v>0</v>
      </c>
      <c r="L7" s="8" t="str">
        <f t="shared" si="3"/>
        <v>Set Goal</v>
      </c>
    </row>
    <row r="8" spans="1:12">
      <c r="A8" s="19" t="s">
        <v>119</v>
      </c>
      <c r="B8" s="13" t="s">
        <v>118</v>
      </c>
      <c r="C8" s="7"/>
      <c r="D8" s="21" t="str">
        <f>IF(C8="","",C8/'Start Here'!$B$10)</f>
        <v/>
      </c>
      <c r="E8" s="21">
        <v>2</v>
      </c>
      <c r="F8" s="21"/>
      <c r="G8" s="21"/>
      <c r="H8" s="21"/>
      <c r="I8" s="21">
        <f t="shared" si="0"/>
        <v>2</v>
      </c>
      <c r="J8" s="22" t="str">
        <f t="shared" si="1"/>
        <v/>
      </c>
      <c r="K8" s="19">
        <f t="shared" si="2"/>
        <v>2</v>
      </c>
      <c r="L8" s="8" t="str">
        <f t="shared" si="3"/>
        <v>Set Goal</v>
      </c>
    </row>
    <row r="9" spans="1:12">
      <c r="A9" s="19" t="s">
        <v>120</v>
      </c>
      <c r="B9" s="13" t="s">
        <v>118</v>
      </c>
      <c r="C9" s="7"/>
      <c r="D9" s="21" t="str">
        <f>IF(C9="","",C9/'Start Here'!$B$10)</f>
        <v/>
      </c>
      <c r="E9" s="21">
        <v>0</v>
      </c>
      <c r="F9" s="21"/>
      <c r="G9" s="21"/>
      <c r="H9" s="21"/>
      <c r="I9" s="21">
        <f t="shared" si="0"/>
        <v>0</v>
      </c>
      <c r="J9" s="22" t="str">
        <f t="shared" si="1"/>
        <v/>
      </c>
      <c r="K9" s="19">
        <f t="shared" si="2"/>
        <v>0</v>
      </c>
      <c r="L9" s="8" t="str">
        <f t="shared" si="3"/>
        <v>Set Goal</v>
      </c>
    </row>
    <row r="10" spans="1:12">
      <c r="A10" s="19" t="s">
        <v>111</v>
      </c>
      <c r="B10" s="19" t="s">
        <v>55</v>
      </c>
      <c r="C10" s="7">
        <v>300000</v>
      </c>
      <c r="D10" s="21">
        <f>IF(C10="","",C10/'Start Here'!$B$10)</f>
        <v>75000</v>
      </c>
      <c r="E10" s="21"/>
      <c r="F10" s="21"/>
      <c r="G10" s="21"/>
      <c r="H10" s="21"/>
      <c r="I10" s="21">
        <f t="shared" si="0"/>
        <v>0</v>
      </c>
      <c r="J10" s="22">
        <f t="shared" si="1"/>
        <v>0</v>
      </c>
      <c r="K10" s="19" t="str">
        <f t="shared" si="2"/>
        <v/>
      </c>
      <c r="L10" s="8" t="str">
        <f t="shared" si="3"/>
        <v>No Data</v>
      </c>
    </row>
    <row r="11" spans="1:12">
      <c r="A11" s="19" t="s">
        <v>121</v>
      </c>
      <c r="B11" s="13" t="s">
        <v>118</v>
      </c>
      <c r="C11" s="7">
        <v>300000</v>
      </c>
      <c r="D11" s="21">
        <f>IF(C11="","",C11/'Start Here'!$B$10)</f>
        <v>75000</v>
      </c>
      <c r="E11" s="21">
        <v>0</v>
      </c>
      <c r="F11" s="21">
        <v>0</v>
      </c>
      <c r="G11" s="21"/>
      <c r="H11" s="21"/>
      <c r="I11" s="21">
        <f t="shared" si="0"/>
        <v>0</v>
      </c>
      <c r="J11" s="22">
        <f t="shared" si="1"/>
        <v>0</v>
      </c>
      <c r="K11" s="19">
        <f t="shared" si="2"/>
        <v>0</v>
      </c>
      <c r="L11" s="8" t="str">
        <f t="shared" si="3"/>
        <v>RED</v>
      </c>
    </row>
    <row r="12" spans="1:12">
      <c r="A12" s="19" t="s">
        <v>98</v>
      </c>
      <c r="B12" s="19" t="s">
        <v>55</v>
      </c>
      <c r="C12" s="7">
        <v>300000</v>
      </c>
      <c r="D12" s="21">
        <f>IF(C12="","",C12/'Start Here'!$B$10)</f>
        <v>75000</v>
      </c>
      <c r="E12" s="21">
        <v>96632.37</v>
      </c>
      <c r="F12" s="21">
        <v>1442.62</v>
      </c>
      <c r="G12" s="21"/>
      <c r="H12" s="21"/>
      <c r="I12" s="21">
        <f t="shared" si="0"/>
        <v>98074.989999999991</v>
      </c>
      <c r="J12" s="22">
        <f t="shared" si="1"/>
        <v>0.32691663333333332</v>
      </c>
      <c r="K12" s="19">
        <f t="shared" si="2"/>
        <v>1442.62</v>
      </c>
      <c r="L12" s="8" t="str">
        <f t="shared" si="3"/>
        <v>RED</v>
      </c>
    </row>
    <row r="14" spans="1:12">
      <c r="A14" s="20" t="s">
        <v>122</v>
      </c>
    </row>
  </sheetData>
  <mergeCells count="3">
    <mergeCell ref="A1:L1"/>
    <mergeCell ref="A2:L2"/>
    <mergeCell ref="A4:L4"/>
  </mergeCells>
  <conditionalFormatting sqref="E6:H12">
    <cfRule type="expression" dxfId="10" priority="2">
      <formula>AND(E6&lt;&gt;"",$D6&lt;&gt;"",E6&gt;=$D6)</formula>
    </cfRule>
    <cfRule type="expression" dxfId="9" priority="3">
      <formula>AND(E6&lt;&gt;"",$D6&lt;&gt;"",E6&gt;=0.85*$D6,E6&lt;$D6)</formula>
    </cfRule>
    <cfRule type="expression" dxfId="8" priority="4">
      <formula>AND(E6&lt;&gt;"",$D6&lt;&gt;"",E6&lt;0.85*$D6)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L17"/>
  <sheetViews>
    <sheetView showGridLines="0" zoomScaleNormal="100" workbookViewId="0">
      <pane ySplit="4" topLeftCell="A14" activePane="bottomLeft" state="frozen"/>
      <selection pane="bottomLeft" activeCell="E14" sqref="E14"/>
    </sheetView>
  </sheetViews>
  <sheetFormatPr defaultColWidth="8.5703125" defaultRowHeight="15"/>
  <cols>
    <col min="1" max="1" width="36.42578125" customWidth="1"/>
    <col min="2" max="2" width="34.140625" bestFit="1" customWidth="1"/>
    <col min="3" max="4" width="13" customWidth="1"/>
    <col min="5" max="8" width="11" customWidth="1"/>
    <col min="9" max="9" width="13" customWidth="1"/>
    <col min="10" max="10" width="12" customWidth="1"/>
    <col min="11" max="12" width="11" customWidth="1"/>
  </cols>
  <sheetData>
    <row r="1" spans="1:12" ht="27.75" customHeight="1">
      <c r="A1" s="46" t="s">
        <v>123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s="47" t="s">
        <v>124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1:12" ht="19.5" customHeight="1">
      <c r="A4" s="45" t="s">
        <v>114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7.75" customHeight="1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</row>
    <row r="6" spans="1:12">
      <c r="A6" s="19" t="s">
        <v>125</v>
      </c>
      <c r="B6" s="13" t="s">
        <v>126</v>
      </c>
      <c r="C6" s="27">
        <v>5</v>
      </c>
      <c r="D6" s="28">
        <f>IF(C6="","",C6/'Start Here'!$B$10)</f>
        <v>1.25</v>
      </c>
      <c r="E6" s="28"/>
      <c r="F6" s="28"/>
      <c r="G6" s="28"/>
      <c r="H6" s="28"/>
      <c r="I6" s="28">
        <f t="shared" ref="I6:I15" si="0">SUM(E6:H6)</f>
        <v>0</v>
      </c>
      <c r="J6" s="22">
        <f t="shared" ref="J6:J15" si="1">IF(OR(C6="",C6=0),"",I6/C6)</f>
        <v>0</v>
      </c>
      <c r="K6" s="19" t="str">
        <f t="shared" ref="K6:K15" si="2">IFERROR(LOOKUP(2,1/(E6:H6&lt;&gt;""),E6:H6),"")</f>
        <v/>
      </c>
      <c r="L6" s="8" t="str">
        <f t="shared" ref="L6:L15" si="3">IF(D6="","Set Goal",IF(K6="","No Data",IF(K6&gt;=D6,"GREEN",IF(K6&gt;=0.85*D6,"YELLOW","RED"))))</f>
        <v>No Data</v>
      </c>
    </row>
    <row r="7" spans="1:12">
      <c r="A7" s="19" t="s">
        <v>127</v>
      </c>
      <c r="B7" s="19" t="s">
        <v>55</v>
      </c>
      <c r="C7" s="7"/>
      <c r="D7" s="21" t="str">
        <f>IF(C7="","",C7/'Start Here'!$B$10)</f>
        <v/>
      </c>
      <c r="E7" s="21"/>
      <c r="F7" s="21"/>
      <c r="G7" s="21"/>
      <c r="H7" s="21"/>
      <c r="I7" s="21">
        <f t="shared" si="0"/>
        <v>0</v>
      </c>
      <c r="J7" s="22" t="str">
        <f t="shared" si="1"/>
        <v/>
      </c>
      <c r="K7" s="19" t="str">
        <f t="shared" si="2"/>
        <v/>
      </c>
      <c r="L7" s="8" t="str">
        <f t="shared" si="3"/>
        <v>Set Goal</v>
      </c>
    </row>
    <row r="8" spans="1:12">
      <c r="A8" s="19" t="s">
        <v>128</v>
      </c>
      <c r="B8" s="13" t="s">
        <v>126</v>
      </c>
      <c r="C8" s="29">
        <v>2</v>
      </c>
      <c r="D8" s="30">
        <f>IF(C8="","",C8/'Start Here'!$B$10)</f>
        <v>0.5</v>
      </c>
      <c r="E8" s="30"/>
      <c r="F8" s="30"/>
      <c r="G8" s="30"/>
      <c r="H8" s="30"/>
      <c r="I8" s="30">
        <f t="shared" si="0"/>
        <v>0</v>
      </c>
      <c r="J8" s="30">
        <f t="shared" si="1"/>
        <v>0</v>
      </c>
      <c r="K8" s="19" t="str">
        <f t="shared" si="2"/>
        <v/>
      </c>
      <c r="L8" s="8" t="str">
        <f t="shared" si="3"/>
        <v>No Data</v>
      </c>
    </row>
    <row r="9" spans="1:12">
      <c r="A9" s="19" t="s">
        <v>129</v>
      </c>
      <c r="B9" s="13" t="s">
        <v>116</v>
      </c>
      <c r="C9" s="29">
        <v>1</v>
      </c>
      <c r="D9" s="30">
        <f>IF(C9="","",C9/'Start Here'!$B$10)</f>
        <v>0.25</v>
      </c>
      <c r="E9" s="30">
        <v>0</v>
      </c>
      <c r="F9" s="30">
        <v>0</v>
      </c>
      <c r="G9" s="30"/>
      <c r="H9" s="30"/>
      <c r="I9" s="30">
        <f t="shared" si="0"/>
        <v>0</v>
      </c>
      <c r="J9" s="30">
        <f t="shared" si="1"/>
        <v>0</v>
      </c>
      <c r="K9" s="19">
        <f t="shared" si="2"/>
        <v>0</v>
      </c>
      <c r="L9" s="8" t="str">
        <f t="shared" si="3"/>
        <v>RED</v>
      </c>
    </row>
    <row r="10" spans="1:12">
      <c r="A10" s="19" t="s">
        <v>130</v>
      </c>
      <c r="B10" s="13" t="s">
        <v>126</v>
      </c>
      <c r="C10" s="29">
        <v>3</v>
      </c>
      <c r="D10" s="30">
        <f>IF(C10="","",C10/'Start Here'!$B$10)</f>
        <v>0.75</v>
      </c>
      <c r="E10" s="30"/>
      <c r="F10" s="30"/>
      <c r="G10" s="30"/>
      <c r="H10" s="30"/>
      <c r="I10" s="30">
        <f t="shared" si="0"/>
        <v>0</v>
      </c>
      <c r="J10" s="30">
        <f t="shared" si="1"/>
        <v>0</v>
      </c>
      <c r="K10" s="19" t="str">
        <f t="shared" si="2"/>
        <v/>
      </c>
      <c r="L10" s="8" t="str">
        <f t="shared" si="3"/>
        <v>No Data</v>
      </c>
    </row>
    <row r="11" spans="1:12">
      <c r="A11" s="19" t="s">
        <v>131</v>
      </c>
      <c r="B11" s="13" t="s">
        <v>126</v>
      </c>
      <c r="C11" s="29">
        <v>5</v>
      </c>
      <c r="D11" s="30">
        <f>IF(C11="","",C11/'Start Here'!$B$10)</f>
        <v>1.25</v>
      </c>
      <c r="E11" s="30"/>
      <c r="F11" s="30"/>
      <c r="G11" s="30"/>
      <c r="H11" s="30"/>
      <c r="I11" s="30">
        <f t="shared" si="0"/>
        <v>0</v>
      </c>
      <c r="J11" s="30">
        <f t="shared" si="1"/>
        <v>0</v>
      </c>
      <c r="K11" s="19" t="str">
        <f t="shared" si="2"/>
        <v/>
      </c>
      <c r="L11" s="8" t="str">
        <f t="shared" si="3"/>
        <v>No Data</v>
      </c>
    </row>
    <row r="12" spans="1:12">
      <c r="A12" s="19" t="s">
        <v>132</v>
      </c>
      <c r="B12" s="13" t="s">
        <v>126</v>
      </c>
      <c r="C12" s="29">
        <v>2</v>
      </c>
      <c r="D12" s="30">
        <f>IF(C12="","",C12/'Start Here'!$B$10)</f>
        <v>0.5</v>
      </c>
      <c r="E12" s="30"/>
      <c r="F12" s="30"/>
      <c r="G12" s="30"/>
      <c r="H12" s="30"/>
      <c r="I12" s="30">
        <f t="shared" si="0"/>
        <v>0</v>
      </c>
      <c r="J12" s="30">
        <f t="shared" si="1"/>
        <v>0</v>
      </c>
      <c r="K12" s="19" t="str">
        <f t="shared" si="2"/>
        <v/>
      </c>
      <c r="L12" s="8" t="str">
        <f t="shared" si="3"/>
        <v>No Data</v>
      </c>
    </row>
    <row r="13" spans="1:12">
      <c r="A13" s="19" t="s">
        <v>133</v>
      </c>
      <c r="B13" s="13" t="s">
        <v>116</v>
      </c>
      <c r="C13" s="29"/>
      <c r="D13" s="30">
        <v>0</v>
      </c>
      <c r="E13" s="30">
        <v>0</v>
      </c>
      <c r="F13" s="30">
        <v>0</v>
      </c>
      <c r="G13" s="30"/>
      <c r="H13" s="30"/>
      <c r="I13" s="30">
        <f t="shared" si="0"/>
        <v>0</v>
      </c>
      <c r="J13" s="30" t="str">
        <f t="shared" si="1"/>
        <v/>
      </c>
      <c r="K13" s="19">
        <f t="shared" si="2"/>
        <v>0</v>
      </c>
      <c r="L13" s="8" t="str">
        <f t="shared" si="3"/>
        <v>GREEN</v>
      </c>
    </row>
    <row r="14" spans="1:12">
      <c r="A14" s="19" t="s">
        <v>134</v>
      </c>
      <c r="B14" s="13" t="s">
        <v>116</v>
      </c>
      <c r="C14" s="7"/>
      <c r="D14" s="21">
        <v>0</v>
      </c>
      <c r="E14" s="21">
        <v>0</v>
      </c>
      <c r="F14" s="21">
        <v>0</v>
      </c>
      <c r="G14" s="21"/>
      <c r="H14" s="21"/>
      <c r="I14" s="21">
        <f t="shared" si="0"/>
        <v>0</v>
      </c>
      <c r="J14" s="22" t="str">
        <f t="shared" si="1"/>
        <v/>
      </c>
      <c r="K14" s="19">
        <f t="shared" si="2"/>
        <v>0</v>
      </c>
      <c r="L14" s="8" t="str">
        <f t="shared" si="3"/>
        <v>GREEN</v>
      </c>
    </row>
    <row r="15" spans="1:12">
      <c r="A15" s="19" t="s">
        <v>135</v>
      </c>
      <c r="B15" s="19" t="s">
        <v>55</v>
      </c>
      <c r="C15" s="7"/>
      <c r="D15" s="21" t="str">
        <f>IF(C15="","",C15/'Start Here'!$B$10)</f>
        <v/>
      </c>
      <c r="E15" s="21"/>
      <c r="F15" s="21"/>
      <c r="G15" s="21"/>
      <c r="H15" s="21"/>
      <c r="I15" s="21">
        <f t="shared" si="0"/>
        <v>0</v>
      </c>
      <c r="J15" s="22" t="str">
        <f t="shared" si="1"/>
        <v/>
      </c>
      <c r="K15" s="19" t="str">
        <f t="shared" si="2"/>
        <v/>
      </c>
      <c r="L15" s="8" t="str">
        <f t="shared" si="3"/>
        <v>Set Goal</v>
      </c>
    </row>
    <row r="17" spans="1:12" ht="15" customHeight="1">
      <c r="A17" s="51" t="s">
        <v>136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</sheetData>
  <mergeCells count="4">
    <mergeCell ref="A1:L1"/>
    <mergeCell ref="A2:L2"/>
    <mergeCell ref="A4:L4"/>
    <mergeCell ref="A17:L17"/>
  </mergeCells>
  <conditionalFormatting sqref="E6:H15">
    <cfRule type="expression" dxfId="7" priority="2">
      <formula>AND(E6&lt;&gt;"",$D6&lt;&gt;"",E6&gt;=$D6)</formula>
    </cfRule>
    <cfRule type="expression" dxfId="6" priority="3">
      <formula>AND(E6&lt;&gt;"",$D6&lt;&gt;"",E6&gt;=0.85*$D6,E6&lt;$D6)</formula>
    </cfRule>
    <cfRule type="expression" dxfId="5" priority="4">
      <formula>AND(E6&lt;&gt;"",$D6&lt;&gt;"",E6&lt;0.85*$D6)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I9"/>
  <sheetViews>
    <sheetView showGridLines="0" zoomScaleNormal="100" workbookViewId="0">
      <pane ySplit="4" topLeftCell="A5" activePane="bottomLeft" state="frozen"/>
      <selection pane="bottomLeft" activeCell="B13" sqref="B13"/>
    </sheetView>
  </sheetViews>
  <sheetFormatPr defaultColWidth="8.5703125" defaultRowHeight="15"/>
  <cols>
    <col min="1" max="1" width="55.5703125" bestFit="1" customWidth="1"/>
    <col min="2" max="2" width="22" customWidth="1"/>
    <col min="3" max="3" width="13" customWidth="1"/>
    <col min="4" max="9" width="11" customWidth="1"/>
  </cols>
  <sheetData>
    <row r="1" spans="1:9" ht="27.75" customHeight="1">
      <c r="A1" s="46" t="s">
        <v>137</v>
      </c>
      <c r="B1" s="46"/>
      <c r="C1" s="46"/>
      <c r="D1" s="46"/>
      <c r="E1" s="46"/>
      <c r="F1" s="46"/>
      <c r="G1" s="46"/>
      <c r="H1" s="46"/>
      <c r="I1" s="46"/>
    </row>
    <row r="2" spans="1:9">
      <c r="A2" s="47" t="s">
        <v>138</v>
      </c>
      <c r="B2" s="47"/>
      <c r="C2" s="47"/>
      <c r="D2" s="47"/>
      <c r="E2" s="47"/>
      <c r="F2" s="47"/>
      <c r="G2" s="47"/>
      <c r="H2" s="47"/>
      <c r="I2" s="47"/>
    </row>
    <row r="4" spans="1:9" ht="19.5" customHeight="1">
      <c r="A4" s="45" t="s">
        <v>139</v>
      </c>
      <c r="B4" s="45"/>
      <c r="C4" s="45"/>
      <c r="D4" s="45"/>
      <c r="E4" s="45"/>
      <c r="F4" s="45"/>
      <c r="G4" s="45"/>
      <c r="H4" s="45"/>
      <c r="I4" s="45"/>
    </row>
    <row r="5" spans="1:9" ht="27.75" customHeight="1">
      <c r="A5" s="6" t="s">
        <v>140</v>
      </c>
      <c r="B5" s="6" t="s">
        <v>41</v>
      </c>
      <c r="C5" s="6" t="s">
        <v>141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50</v>
      </c>
      <c r="I5" s="6" t="s">
        <v>51</v>
      </c>
    </row>
    <row r="6" spans="1:9">
      <c r="A6" s="19" t="s">
        <v>142</v>
      </c>
      <c r="B6" s="19" t="s">
        <v>106</v>
      </c>
      <c r="C6" s="17">
        <v>0</v>
      </c>
      <c r="D6" s="25"/>
      <c r="E6" s="25"/>
      <c r="F6" s="25"/>
      <c r="G6" s="25"/>
      <c r="H6" s="18" t="str">
        <f>IFERROR(LOOKUP(2,1/(D6:G6&lt;&gt;""),D6:G6),"")</f>
        <v/>
      </c>
      <c r="I6" s="8" t="str">
        <f>IF(H6="","No Data",IF(H6&lt;=C6,"GREEN",IF(H6&lt;=C6+2,"YELLOW","RED")))</f>
        <v>No Data</v>
      </c>
    </row>
    <row r="7" spans="1:9">
      <c r="A7" s="19" t="s">
        <v>143</v>
      </c>
      <c r="B7" s="19" t="s">
        <v>106</v>
      </c>
      <c r="C7" s="17">
        <v>0</v>
      </c>
      <c r="D7" s="25"/>
      <c r="E7" s="25"/>
      <c r="F7" s="25"/>
      <c r="G7" s="25"/>
      <c r="H7" s="18" t="str">
        <f>IFERROR(LOOKUP(2,1/(D7:G7&lt;&gt;""),D7:G7),"")</f>
        <v/>
      </c>
      <c r="I7" s="8" t="str">
        <f>IF(H7="","No Data",IF(H7&lt;=C7,"GREEN",IF(H7&lt;=C7+2,"YELLOW","RED")))</f>
        <v>No Data</v>
      </c>
    </row>
    <row r="9" spans="1:9" ht="15" customHeight="1">
      <c r="A9" s="51" t="s">
        <v>144</v>
      </c>
      <c r="B9" s="51"/>
      <c r="C9" s="51"/>
      <c r="D9" s="51"/>
      <c r="E9" s="51"/>
      <c r="F9" s="51"/>
      <c r="G9" s="51"/>
      <c r="H9" s="51"/>
      <c r="I9" s="51"/>
    </row>
  </sheetData>
  <mergeCells count="4">
    <mergeCell ref="A1:I1"/>
    <mergeCell ref="A2:I2"/>
    <mergeCell ref="A4:I4"/>
    <mergeCell ref="A9:I9"/>
  </mergeCells>
  <conditionalFormatting sqref="D6:G7">
    <cfRule type="expression" dxfId="4" priority="2">
      <formula>AND(D6&lt;&gt;"",D6&lt;=$C6)</formula>
    </cfRule>
    <cfRule type="expression" dxfId="3" priority="3">
      <formula>AND(D6&lt;&gt;"",D6&gt;$C6,D6&lt;=$C6+2)</formula>
    </cfRule>
    <cfRule type="expression" dxfId="2" priority="4">
      <formula>AND(D6&lt;&gt;"",D6&gt;$C6+2)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G24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5703125" defaultRowHeight="15"/>
  <cols>
    <col min="1" max="1" width="12" customWidth="1"/>
    <col min="2" max="2" width="24" customWidth="1"/>
    <col min="3" max="4" width="34" customWidth="1"/>
    <col min="5" max="5" width="20" customWidth="1"/>
    <col min="6" max="7" width="12" customWidth="1"/>
  </cols>
  <sheetData>
    <row r="1" spans="1:7" ht="27.75" customHeight="1">
      <c r="A1" s="46" t="s">
        <v>145</v>
      </c>
      <c r="B1" s="46"/>
      <c r="C1" s="46"/>
      <c r="D1" s="46"/>
      <c r="E1" s="46"/>
      <c r="F1" s="46"/>
      <c r="G1" s="46"/>
    </row>
    <row r="2" spans="1:7">
      <c r="A2" s="47" t="s">
        <v>146</v>
      </c>
      <c r="B2" s="47"/>
      <c r="C2" s="47"/>
      <c r="D2" s="47"/>
      <c r="E2" s="47"/>
      <c r="F2" s="47"/>
      <c r="G2" s="47"/>
    </row>
    <row r="4" spans="1:7" ht="27.75" customHeight="1">
      <c r="A4" s="6" t="s">
        <v>147</v>
      </c>
      <c r="B4" s="6" t="s">
        <v>148</v>
      </c>
      <c r="C4" s="6" t="s">
        <v>149</v>
      </c>
      <c r="D4" s="6" t="s">
        <v>150</v>
      </c>
      <c r="E4" s="6" t="s">
        <v>41</v>
      </c>
      <c r="F4" s="6" t="s">
        <v>151</v>
      </c>
      <c r="G4" s="6" t="s">
        <v>51</v>
      </c>
    </row>
    <row r="5" spans="1:7" ht="26.25">
      <c r="A5" s="40">
        <v>46279</v>
      </c>
      <c r="B5" s="19" t="s">
        <v>152</v>
      </c>
      <c r="C5" s="19" t="s">
        <v>153</v>
      </c>
      <c r="D5" s="41" t="s">
        <v>154</v>
      </c>
      <c r="E5" s="42" t="s">
        <v>155</v>
      </c>
      <c r="F5" s="40">
        <v>46283</v>
      </c>
      <c r="G5" s="19"/>
    </row>
    <row r="6" spans="1:7">
      <c r="A6" s="19"/>
      <c r="B6" s="19"/>
      <c r="C6" s="19"/>
      <c r="D6" s="19"/>
      <c r="E6" s="19"/>
      <c r="F6" s="19"/>
      <c r="G6" s="19"/>
    </row>
    <row r="7" spans="1:7">
      <c r="A7" s="19"/>
      <c r="B7" s="19"/>
      <c r="C7" s="19"/>
      <c r="D7" s="19"/>
      <c r="E7" s="19"/>
      <c r="F7" s="19"/>
      <c r="G7" s="19"/>
    </row>
    <row r="8" spans="1:7">
      <c r="A8" s="19"/>
      <c r="B8" s="19"/>
      <c r="C8" s="19"/>
      <c r="D8" s="19"/>
      <c r="E8" s="19"/>
      <c r="F8" s="19"/>
      <c r="G8" s="19"/>
    </row>
    <row r="9" spans="1:7">
      <c r="A9" s="19"/>
      <c r="B9" s="19"/>
      <c r="C9" s="19"/>
      <c r="D9" s="19"/>
      <c r="E9" s="19"/>
      <c r="F9" s="19"/>
      <c r="G9" s="19"/>
    </row>
    <row r="10" spans="1:7">
      <c r="A10" s="19"/>
      <c r="B10" s="19"/>
      <c r="C10" s="19"/>
      <c r="D10" s="19"/>
      <c r="E10" s="19"/>
      <c r="F10" s="19"/>
      <c r="G10" s="19"/>
    </row>
    <row r="11" spans="1:7">
      <c r="A11" s="19"/>
      <c r="B11" s="19"/>
      <c r="C11" s="19"/>
      <c r="D11" s="19"/>
      <c r="E11" s="19"/>
      <c r="F11" s="19"/>
      <c r="G11" s="19"/>
    </row>
    <row r="12" spans="1:7">
      <c r="A12" s="19"/>
      <c r="B12" s="19"/>
      <c r="C12" s="19"/>
      <c r="D12" s="19"/>
      <c r="E12" s="19"/>
      <c r="F12" s="19"/>
      <c r="G12" s="19"/>
    </row>
    <row r="13" spans="1:7">
      <c r="A13" s="19"/>
      <c r="B13" s="19"/>
      <c r="C13" s="19"/>
      <c r="D13" s="19"/>
      <c r="E13" s="19"/>
      <c r="F13" s="19"/>
      <c r="G13" s="19"/>
    </row>
    <row r="14" spans="1:7">
      <c r="A14" s="19"/>
      <c r="B14" s="19"/>
      <c r="C14" s="19"/>
      <c r="D14" s="19"/>
      <c r="E14" s="19"/>
      <c r="F14" s="19"/>
      <c r="G14" s="19"/>
    </row>
    <row r="15" spans="1:7">
      <c r="A15" s="19"/>
      <c r="B15" s="19"/>
      <c r="C15" s="19"/>
      <c r="D15" s="19"/>
      <c r="E15" s="19"/>
      <c r="F15" s="19"/>
      <c r="G15" s="19"/>
    </row>
    <row r="16" spans="1:7">
      <c r="A16" s="19"/>
      <c r="B16" s="19"/>
      <c r="C16" s="19"/>
      <c r="D16" s="19"/>
      <c r="E16" s="19"/>
      <c r="F16" s="19"/>
      <c r="G16" s="19"/>
    </row>
    <row r="17" spans="1:7">
      <c r="A17" s="19"/>
      <c r="B17" s="19"/>
      <c r="C17" s="19"/>
      <c r="D17" s="19"/>
      <c r="E17" s="19"/>
      <c r="F17" s="19"/>
      <c r="G17" s="19"/>
    </row>
    <row r="18" spans="1:7">
      <c r="A18" s="19"/>
      <c r="B18" s="19"/>
      <c r="C18" s="19"/>
      <c r="D18" s="19"/>
      <c r="E18" s="19"/>
      <c r="F18" s="19"/>
      <c r="G18" s="19"/>
    </row>
    <row r="19" spans="1:7">
      <c r="A19" s="19"/>
      <c r="B19" s="19"/>
      <c r="C19" s="19"/>
      <c r="D19" s="19"/>
      <c r="E19" s="19"/>
      <c r="F19" s="19"/>
      <c r="G19" s="19"/>
    </row>
    <row r="20" spans="1:7">
      <c r="A20" s="19"/>
      <c r="B20" s="19"/>
      <c r="C20" s="19"/>
      <c r="D20" s="19"/>
      <c r="E20" s="19"/>
      <c r="F20" s="19"/>
      <c r="G20" s="19"/>
    </row>
    <row r="21" spans="1:7">
      <c r="A21" s="19"/>
      <c r="B21" s="19"/>
      <c r="C21" s="19"/>
      <c r="D21" s="19"/>
      <c r="E21" s="19"/>
      <c r="F21" s="19"/>
      <c r="G21" s="19"/>
    </row>
    <row r="22" spans="1:7">
      <c r="A22" s="19"/>
      <c r="B22" s="19"/>
      <c r="C22" s="19"/>
      <c r="D22" s="19"/>
      <c r="E22" s="19"/>
      <c r="F22" s="19"/>
      <c r="G22" s="19"/>
    </row>
    <row r="23" spans="1:7">
      <c r="A23" s="19"/>
      <c r="B23" s="19"/>
      <c r="C23" s="19"/>
      <c r="D23" s="19"/>
      <c r="E23" s="19"/>
      <c r="F23" s="19"/>
      <c r="G23" s="19"/>
    </row>
    <row r="24" spans="1:7">
      <c r="A24" s="19"/>
      <c r="B24" s="19"/>
      <c r="C24" s="19"/>
      <c r="D24" s="19"/>
      <c r="E24" s="19"/>
      <c r="F24" s="19"/>
      <c r="G24" s="19"/>
    </row>
  </sheetData>
  <mergeCells count="2">
    <mergeCell ref="A1:G1"/>
    <mergeCell ref="A2:G2"/>
  </mergeCells>
  <conditionalFormatting sqref="G5:G24">
    <cfRule type="expression" dxfId="1" priority="2">
      <formula>G5="Open"</formula>
    </cfRule>
    <cfRule type="expression" dxfId="0" priority="3">
      <formula>G5="Closed"</formula>
    </cfRule>
  </conditionalFormatting>
  <dataValidations count="1">
    <dataValidation type="list" allowBlank="1" sqref="G5:G24" xr:uid="{00000000-0002-0000-0600-000000000000}">
      <formula1>"Open,Closed"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2026-09-08T18:44:42Z</dcterms:created>
  <dcterms:modified xsi:type="dcterms:W3CDTF">2026-09-15T04:18:11Z</dcterms:modified>
  <cp:category/>
  <cp:contentStatus/>
</cp:coreProperties>
</file>