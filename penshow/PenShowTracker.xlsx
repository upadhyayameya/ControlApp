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Inventory" sheetId="3" state="visible" r:id="rId3"/>
    <sheet name="Sales Log" sheetId="4" state="visible" r:id="rId4"/>
    <sheet name="Shows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$#,##0.00;($#,##0.00);-"/>
    <numFmt numFmtId="167" formatCode="$#,##0;($#,##0);-"/>
    <numFmt numFmtId="168" formatCode="#,##0;(#,##0);-"/>
  </numFmts>
  <fonts count="13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sz val="11"/>
    </font>
    <font>
      <name val="Arial"/>
      <b val="1"/>
      <sz val="12"/>
    </font>
    <font>
      <name val="Arial"/>
      <color rgb="00374151"/>
      <sz val="9"/>
    </font>
    <font>
      <name val="Arial"/>
      <b val="1"/>
      <sz val="20"/>
    </font>
    <font>
      <name val="Arial"/>
      <b val="1"/>
      <color rgb="001F2937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00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168" fontId="6" fillId="4" borderId="1" pivotButton="0" quotePrefix="0" xfId="0"/>
    <xf numFmtId="167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168" fontId="6" fillId="0" borderId="1" pivotButton="0" quotePrefix="0" xfId="0"/>
    <xf numFmtId="167" fontId="6" fillId="0" borderId="1" pivotButton="0" quotePrefix="0" xfId="0"/>
    <xf numFmtId="165" fontId="6" fillId="0" borderId="1" pivotButton="0" quotePrefix="0" xfId="0"/>
    <xf numFmtId="0" fontId="8" fillId="6" borderId="1" pivotButton="0" quotePrefix="0" xfId="0"/>
    <xf numFmtId="168" fontId="8" fillId="6" borderId="1" pivotButton="0" quotePrefix="0" xfId="0"/>
    <xf numFmtId="167" fontId="8" fillId="6" borderId="1" pivotButton="0" quotePrefix="0" xfId="0"/>
    <xf numFmtId="165" fontId="8" fillId="6" borderId="1" pivotButton="0" quotePrefix="0" xfId="0"/>
    <xf numFmtId="0" fontId="9" fillId="0" borderId="0" pivotButton="0" quotePrefix="0" xfId="0"/>
    <xf numFmtId="0" fontId="4" fillId="0" borderId="1" pivotButton="0" quotePrefix="0" xfId="0"/>
    <xf numFmtId="0" fontId="10" fillId="0" borderId="0" applyAlignment="1" pivotButton="0" quotePrefix="0" xfId="0">
      <alignment/>
    </xf>
    <xf numFmtId="0" fontId="5" fillId="5" borderId="1" pivotButton="0" quotePrefix="0" xfId="0"/>
    <xf numFmtId="166" fontId="5" fillId="5" borderId="1" pivotButton="0" quotePrefix="0" xfId="0"/>
    <xf numFmtId="168" fontId="5" fillId="5" borderId="1" pivotButton="0" quotePrefix="0" xfId="0"/>
    <xf numFmtId="168" fontId="7" fillId="5" borderId="1" pivotButton="0" quotePrefix="0" xfId="0"/>
    <xf numFmtId="168" fontId="6" fillId="5" borderId="1" pivotButton="0" quotePrefix="0" xfId="0"/>
    <xf numFmtId="165" fontId="6" fillId="5" borderId="1" pivotButton="0" quotePrefix="0" xfId="0"/>
    <xf numFmtId="166" fontId="6" fillId="5" borderId="1" pivotButton="0" quotePrefix="0" xfId="0"/>
    <xf numFmtId="0" fontId="6" fillId="5" borderId="1" pivotButton="0" quotePrefix="0" xfId="0"/>
    <xf numFmtId="0" fontId="5" fillId="0" borderId="1" pivotButton="0" quotePrefix="0" xfId="0"/>
    <xf numFmtId="166" fontId="5" fillId="0" borderId="1" pivotButton="0" quotePrefix="0" xfId="0"/>
    <xf numFmtId="168" fontId="5" fillId="0" borderId="1" pivotButton="0" quotePrefix="0" xfId="0"/>
    <xf numFmtId="168" fontId="7" fillId="0" borderId="1" pivotButton="0" quotePrefix="0" xfId="0"/>
    <xf numFmtId="166" fontId="6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166" fontId="5" fillId="4" borderId="1" pivotButton="0" quotePrefix="0" xfId="0"/>
    <xf numFmtId="168" fontId="5" fillId="4" borderId="1" pivotButton="0" quotePrefix="0" xfId="0"/>
    <xf numFmtId="168" fontId="7" fillId="4" borderId="1" pivotButton="0" quotePrefix="0" xfId="0"/>
    <xf numFmtId="166" fontId="6" fillId="4" borderId="1" pivotButton="0" quotePrefix="0" xfId="0"/>
    <xf numFmtId="0" fontId="6" fillId="4" borderId="1" pivotButton="0" quotePrefix="0" xfId="0"/>
    <xf numFmtId="164" fontId="5" fillId="4" borderId="1" pivotButton="0" quotePrefix="0" xfId="0"/>
    <xf numFmtId="166" fontId="7" fillId="4" borderId="1" pivotButton="0" quotePrefix="0" xfId="0"/>
    <xf numFmtId="164" fontId="5" fillId="0" borderId="1" pivotButton="0" quotePrefix="0" xfId="0"/>
    <xf numFmtId="166" fontId="7" fillId="0" borderId="1" pivotButton="0" quotePrefix="0" xfId="0"/>
    <xf numFmtId="165" fontId="5" fillId="4" borderId="1" pivotButton="0" quotePrefix="0" xfId="0"/>
    <xf numFmtId="167" fontId="5" fillId="4" borderId="1" pivotButton="0" quotePrefix="0" xfId="0"/>
    <xf numFmtId="165" fontId="5" fillId="3" borderId="1" pivotButton="0" quotePrefix="0" xfId="0"/>
    <xf numFmtId="165" fontId="5" fillId="0" borderId="1" pivotButton="0" quotePrefix="0" xfId="0"/>
    <xf numFmtId="167" fontId="5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Setup</author>
  </authors>
  <commentList>
    <comment ref="K4" authorId="0" shapeId="0">
      <text>
        <t>The lowest price you will take. Anything below this loses money once you count the table fee, so decide it now — not at 4pm on Sunday with a customer in front of you.</t>
      </text>
    </comment>
  </commentList>
</comments>
</file>

<file path=xl/comments/comment2.xml><?xml version="1.0" encoding="utf-8"?>
<comments xmlns="http://schemas.openxmlformats.org/spreadsheetml/2006/main">
  <authors>
    <author>Setup</author>
  </authors>
  <commentList>
    <comment ref="O4" authorId="0" shapeId="0">
      <text>
        <t>Zelle confirmation number, Venmo handle, or the last 4 of the card. This is what you match against your bank the same night — an unmatched transfer is unrecoverable once the buyer has walked away.</t>
      </text>
    </comment>
  </commentList>
</comments>
</file>

<file path=xl/comments/comment3.xml><?xml version="1.0" encoding="utf-8"?>
<comments xmlns="http://schemas.openxmlformats.org/spreadsheetml/2006/main">
  <authors>
    <author>Setup</author>
  </authors>
  <commentList>
    <comment ref="F4" authorId="0" shapeId="0">
      <text>
        <t>Combined state + local rate as a decimal (9.375% = 0.09375).
Confirm with the state's department of revenue and get a temporary seller's permit before the show. Colorado stacks home-rule district taxes on top of the state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Pen Show Tracker</t>
        </is>
      </c>
    </row>
    <row r="3">
      <c r="B3" s="2" t="inlineStr">
        <is>
          <t>Inventory, pricing, sales and P&amp;L for the 2026 US pen show circuit.</t>
        </is>
      </c>
    </row>
    <row r="6" ht="24" customHeight="1">
      <c r="B6" s="3" t="inlineStr">
        <is>
          <t>How to use it</t>
        </is>
      </c>
    </row>
    <row r="7">
      <c r="B7" s="4" t="inlineStr">
        <is>
          <t>1.  Shows tab — fill in your table fee, travel, lodging and meals for each show, and VERIFY the sales tax rate.</t>
        </is>
      </c>
    </row>
    <row r="8">
      <c r="B8" s="4" t="inlineStr">
        <is>
          <t>2.  Inventory tab — one row per SKU. Type cost, show price and floor price. Everything grey-black is calculated.</t>
        </is>
      </c>
    </row>
    <row r="9">
      <c r="B9" s="4" t="inlineStr">
        <is>
          <t>3.  Sales Log tab — one row per item sold. Pick the SKU from the dropdown; name, cost and tax fill in for you.</t>
        </is>
      </c>
    </row>
    <row r="10">
      <c r="B10" s="4" t="inlineStr">
        <is>
          <t>4.  Dashboard tab — per-show P&amp;L and your end-of-day payment reconciliation. Nothing to type here.</t>
        </is>
      </c>
    </row>
    <row r="11">
      <c r="B11" s="4" t="inlineStr"/>
    </row>
    <row r="12" ht="24" customHeight="1">
      <c r="B12" s="3" t="inlineStr">
        <is>
          <t>Colour code</t>
        </is>
      </c>
    </row>
    <row r="13">
      <c r="B13" s="5" t="inlineStr">
        <is>
          <t>Blue text        you type it</t>
        </is>
      </c>
    </row>
    <row r="14">
      <c r="B14" s="6" t="inlineStr">
        <is>
          <t>Black text       calculated — overwriting it breaks the sheet</t>
        </is>
      </c>
    </row>
    <row r="15">
      <c r="B15" s="7" t="inlineStr">
        <is>
          <t>Green text       pulled from another tab</t>
        </is>
      </c>
    </row>
    <row r="16">
      <c r="B16" s="8" t="inlineStr">
        <is>
          <t>Yellow fill      a key assumption to confirm before the show</t>
        </is>
      </c>
    </row>
    <row r="17">
      <c r="B17" s="4" t="inlineStr"/>
    </row>
    <row r="18" ht="24" customHeight="1">
      <c r="B18" s="3" t="inlineStr">
        <is>
          <t>What this sheet does NOT do — use the phone app in the same folder for these</t>
        </is>
      </c>
    </row>
    <row r="19">
      <c r="B19" s="4" t="inlineStr">
        <is>
          <t>•  Work as a till while a customer is standing in front of you. Typing rows into a spreadsheet on a phone at a</t>
        </is>
      </c>
    </row>
    <row r="20">
      <c r="B20" s="4" t="inlineStr">
        <is>
          <t xml:space="preserve">   crowded table is where the errors come from. The app is a two-tap point of sale; export from it into here.</t>
        </is>
      </c>
    </row>
    <row r="21">
      <c r="B21" s="4" t="inlineStr">
        <is>
          <t>•  Hold stock for a customer coming back on Sunday.</t>
        </is>
      </c>
    </row>
    <row r="22">
      <c r="B22" s="4" t="inlineStr">
        <is>
          <t>•  Store photos of each pen.</t>
        </is>
      </c>
    </row>
    <row r="23">
      <c r="B23" s="4" t="inlineStr">
        <is>
          <t>•  Warn you when you are about to sell below your floor price.</t>
        </is>
      </c>
    </row>
    <row r="24">
      <c r="B24" s="4" t="inlineStr"/>
    </row>
    <row r="25" ht="24" customHeight="1">
      <c r="B25" s="3" t="inlineStr">
        <is>
          <t>Before the first show — the things that bite people</t>
        </is>
      </c>
    </row>
    <row r="26">
      <c r="B26" s="4" t="inlineStr">
        <is>
          <t>•  Sales tax: each state wants its own temporary seller's permit BEFORE you take a dollar. Colorado is the</t>
        </is>
      </c>
    </row>
    <row r="27">
      <c r="B27" s="4" t="inlineStr">
        <is>
          <t xml:space="preserve">   hardest — home-rule cities stack their own tax on top of the state rate.</t>
        </is>
      </c>
    </row>
    <row r="28">
      <c r="B28" s="4" t="inlineStr">
        <is>
          <t>•  Zelle: most banks cap sends at $500–$2,500 a day. A single high-end pen will bounce off that limit at the</t>
        </is>
      </c>
    </row>
    <row r="29">
      <c r="B29" s="4" t="inlineStr">
        <is>
          <t xml:space="preserve">   table. Raise the limit in advance and know your backup method. Zelle is also irreversible — no chargebacks,</t>
        </is>
      </c>
    </row>
    <row r="30">
      <c r="B30" s="4" t="inlineStr">
        <is>
          <t xml:space="preserve">   which protects you, but also means a mistyped amount is gone.</t>
        </is>
      </c>
    </row>
    <row r="31">
      <c r="B31" s="4" t="inlineStr">
        <is>
          <t>•  Venmo: use a business profile. Taking business payments on a personal profile violates the terms and can</t>
        </is>
      </c>
    </row>
    <row r="32">
      <c r="B32" s="4" t="inlineStr">
        <is>
          <t xml:space="preserve">   get funds frozen mid-show. Business profiles charge a seller fee — put it in the Card fee column if you use one.</t>
        </is>
      </c>
    </row>
    <row r="33">
      <c r="B33" s="4" t="inlineStr">
        <is>
          <t>•  1099-K: Venmo and card processors report your volume. Keep the Sales Log clean and this is a non-event.</t>
        </is>
      </c>
    </row>
    <row r="34">
      <c r="B34" s="4" t="inlineStr">
        <is>
          <t>•  Landed cost means the pen plus shipping plus any import fee. Put the real number in or the P&amp;L is fiction.</t>
        </is>
      </c>
    </row>
    <row r="35">
      <c r="B35" s="4" t="inlineStr">
        <is>
          <t>•  Insurance: your homeowner's policy almost certainly does not cover inventory in a hotel room or in transit.</t>
        </is>
      </c>
    </row>
    <row r="36">
      <c r="B36" s="4" t="inlineStr">
        <is>
          <t>•  Back this file up every night. One file on one laptop is not a backup.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4" customWidth="1" min="10" max="10"/>
    <col width="15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9" t="inlineStr">
        <is>
          <t>Dashboard — did the show actually make money?</t>
        </is>
      </c>
    </row>
    <row r="2">
      <c r="A2" s="2" t="inlineStr">
        <is>
          <t>Everything here is calculated from the Shows and Sales Log tabs. Sales tax collected is a liability you remit to the state; it is never revenue and never profit.</t>
        </is>
      </c>
    </row>
    <row r="3" ht="30" customHeight="1">
      <c r="A3" s="10" t="inlineStr">
        <is>
          <t>Show</t>
        </is>
      </c>
      <c r="B3" s="10" t="inlineStr">
        <is>
          <t>Sales lines</t>
        </is>
      </c>
      <c r="C3" s="10" t="inlineStr">
        <is>
          <t>Units</t>
        </is>
      </c>
      <c r="D3" s="10" t="inlineStr">
        <is>
          <t>Revenue</t>
        </is>
      </c>
      <c r="E3" s="10" t="inlineStr">
        <is>
          <t>COGS</t>
        </is>
      </c>
      <c r="F3" s="10" t="inlineStr">
        <is>
          <t>Gross profit</t>
        </is>
      </c>
      <c r="G3" s="10" t="inlineStr">
        <is>
          <t>Margin %</t>
        </is>
      </c>
      <c r="H3" s="10" t="inlineStr">
        <is>
          <t>Card fees</t>
        </is>
      </c>
      <c r="I3" s="10" t="inlineStr">
        <is>
          <t>Show costs</t>
        </is>
      </c>
      <c r="J3" s="10" t="inlineStr">
        <is>
          <t>NET PROFIT</t>
        </is>
      </c>
      <c r="K3" s="10" t="inlineStr">
        <is>
          <t>Break-even revenue</t>
        </is>
      </c>
      <c r="L3" s="10" t="inlineStr">
        <is>
          <t>Sales tax collected</t>
        </is>
      </c>
      <c r="M3" s="10" t="inlineStr">
        <is>
          <t>Cash</t>
        </is>
      </c>
      <c r="N3" s="10" t="inlineStr">
        <is>
          <t>Zelle</t>
        </is>
      </c>
      <c r="O3" s="10" t="inlineStr">
        <is>
          <t>Venmo</t>
        </is>
      </c>
      <c r="P3" s="10" t="inlineStr">
        <is>
          <t>Card</t>
        </is>
      </c>
      <c r="Q3" s="10" t="inlineStr">
        <is>
          <t>Check</t>
        </is>
      </c>
      <c r="R3" s="10" t="inlineStr">
        <is>
          <t>Trade</t>
        </is>
      </c>
    </row>
    <row r="4">
      <c r="A4" s="11">
        <f>IF(Shows!$A$4="","",Shows!$A$4)</f>
        <v/>
      </c>
      <c r="B4" s="12">
        <f>IF($A4="","",COUNTIFS('Sales Log'!$B$4:$B$503,$A4))</f>
        <v/>
      </c>
      <c r="C4" s="12">
        <f>IF($A4="","",SUMIFS('Sales Log'!$E$4:$E$503,'Sales Log'!$B$4:$B$503,$A4))</f>
        <v/>
      </c>
      <c r="D4" s="13">
        <f>IF($A4="","",SUMIFS('Sales Log'!$J$4:$J$503,'Sales Log'!$B$4:$B$503,$A4))</f>
        <v/>
      </c>
      <c r="E4" s="13">
        <f>IF($A4="","",SUMIFS('Sales Log'!$L$4:$L$503,'Sales Log'!$B$4:$B$503,$A4))</f>
        <v/>
      </c>
      <c r="F4" s="13">
        <f>IF($A4="","",D4-E4)</f>
        <v/>
      </c>
      <c r="G4" s="14">
        <f>IF(N(D4)&gt;0,F4/D4,"")</f>
        <v/>
      </c>
      <c r="H4" s="13">
        <f>IF($A4="","",SUMIFS('Sales Log'!$P$4:$P$503,'Sales Log'!$B$4:$B$503,$A4))</f>
        <v/>
      </c>
      <c r="I4" s="13">
        <f>IF($A4="","",IFERROR(INDEX(Shows!$O$4:$O$23,MATCH($A4,Shows!$A$4:$A$23,0)),0))</f>
        <v/>
      </c>
      <c r="J4" s="13">
        <f>IF($A4="","",F4-H4-I4)</f>
        <v/>
      </c>
      <c r="K4" s="13">
        <f>IF(N(G4)&gt;0,(I4+H4)/G4,"")</f>
        <v/>
      </c>
      <c r="L4" s="13">
        <f>IF($A4="","",SUMIFS('Sales Log'!$K$4:$K$503,'Sales Log'!$B$4:$B$503,$A4))</f>
        <v/>
      </c>
      <c r="M4" s="13">
        <f>IF($A4="","",SUMIFS('Sales Log'!$Q$4:$Q$503,'Sales Log'!$B$4:$B$503,$A4,'Sales Log'!$N$4:$N$503,"Cash"))</f>
        <v/>
      </c>
      <c r="N4" s="13">
        <f>IF($A4="","",SUMIFS('Sales Log'!$Q$4:$Q$503,'Sales Log'!$B$4:$B$503,$A4,'Sales Log'!$N$4:$N$503,"Zelle"))</f>
        <v/>
      </c>
      <c r="O4" s="13">
        <f>IF($A4="","",SUMIFS('Sales Log'!$Q$4:$Q$503,'Sales Log'!$B$4:$B$503,$A4,'Sales Log'!$N$4:$N$503,"Venmo"))</f>
        <v/>
      </c>
      <c r="P4" s="13">
        <f>IF($A4="","",SUMIFS('Sales Log'!$Q$4:$Q$503,'Sales Log'!$B$4:$B$503,$A4,'Sales Log'!$N$4:$N$503,"Card"))</f>
        <v/>
      </c>
      <c r="Q4" s="13">
        <f>IF($A4="","",SUMIFS('Sales Log'!$Q$4:$Q$503,'Sales Log'!$B$4:$B$503,$A4,'Sales Log'!$N$4:$N$503,"Check"))</f>
        <v/>
      </c>
      <c r="R4" s="13">
        <f>IF($A4="","",SUMIFS('Sales Log'!$Q$4:$Q$503,'Sales Log'!$B$4:$B$503,$A4,'Sales Log'!$N$4:$N$503,"Trade"))</f>
        <v/>
      </c>
    </row>
    <row r="5">
      <c r="A5" s="15">
        <f>IF(Shows!$A$5="","",Shows!$A$5)</f>
        <v/>
      </c>
      <c r="B5" s="16">
        <f>IF($A5="","",COUNTIFS('Sales Log'!$B$4:$B$503,$A5))</f>
        <v/>
      </c>
      <c r="C5" s="16">
        <f>IF($A5="","",SUMIFS('Sales Log'!$E$4:$E$503,'Sales Log'!$B$4:$B$503,$A5))</f>
        <v/>
      </c>
      <c r="D5" s="17">
        <f>IF($A5="","",SUMIFS('Sales Log'!$J$4:$J$503,'Sales Log'!$B$4:$B$503,$A5))</f>
        <v/>
      </c>
      <c r="E5" s="17">
        <f>IF($A5="","",SUMIFS('Sales Log'!$L$4:$L$503,'Sales Log'!$B$4:$B$503,$A5))</f>
        <v/>
      </c>
      <c r="F5" s="17">
        <f>IF($A5="","",D5-E5)</f>
        <v/>
      </c>
      <c r="G5" s="18">
        <f>IF(N(D5)&gt;0,F5/D5,"")</f>
        <v/>
      </c>
      <c r="H5" s="17">
        <f>IF($A5="","",SUMIFS('Sales Log'!$P$4:$P$503,'Sales Log'!$B$4:$B$503,$A5))</f>
        <v/>
      </c>
      <c r="I5" s="17">
        <f>IF($A5="","",IFERROR(INDEX(Shows!$O$4:$O$23,MATCH($A5,Shows!$A$4:$A$23,0)),0))</f>
        <v/>
      </c>
      <c r="J5" s="17">
        <f>IF($A5="","",F5-H5-I5)</f>
        <v/>
      </c>
      <c r="K5" s="17">
        <f>IF(N(G5)&gt;0,(I5+H5)/G5,"")</f>
        <v/>
      </c>
      <c r="L5" s="17">
        <f>IF($A5="","",SUMIFS('Sales Log'!$K$4:$K$503,'Sales Log'!$B$4:$B$503,$A5))</f>
        <v/>
      </c>
      <c r="M5" s="17">
        <f>IF($A5="","",SUMIFS('Sales Log'!$Q$4:$Q$503,'Sales Log'!$B$4:$B$503,$A5,'Sales Log'!$N$4:$N$503,"Cash"))</f>
        <v/>
      </c>
      <c r="N5" s="17">
        <f>IF($A5="","",SUMIFS('Sales Log'!$Q$4:$Q$503,'Sales Log'!$B$4:$B$503,$A5,'Sales Log'!$N$4:$N$503,"Zelle"))</f>
        <v/>
      </c>
      <c r="O5" s="17">
        <f>IF($A5="","",SUMIFS('Sales Log'!$Q$4:$Q$503,'Sales Log'!$B$4:$B$503,$A5,'Sales Log'!$N$4:$N$503,"Venmo"))</f>
        <v/>
      </c>
      <c r="P5" s="17">
        <f>IF($A5="","",SUMIFS('Sales Log'!$Q$4:$Q$503,'Sales Log'!$B$4:$B$503,$A5,'Sales Log'!$N$4:$N$503,"Card"))</f>
        <v/>
      </c>
      <c r="Q5" s="17">
        <f>IF($A5="","",SUMIFS('Sales Log'!$Q$4:$Q$503,'Sales Log'!$B$4:$B$503,$A5,'Sales Log'!$N$4:$N$503,"Check"))</f>
        <v/>
      </c>
      <c r="R5" s="17">
        <f>IF($A5="","",SUMIFS('Sales Log'!$Q$4:$Q$503,'Sales Log'!$B$4:$B$503,$A5,'Sales Log'!$N$4:$N$503,"Trade"))</f>
        <v/>
      </c>
    </row>
    <row r="6">
      <c r="A6" s="11">
        <f>IF(Shows!$A$6="","",Shows!$A$6)</f>
        <v/>
      </c>
      <c r="B6" s="12">
        <f>IF($A6="","",COUNTIFS('Sales Log'!$B$4:$B$503,$A6))</f>
        <v/>
      </c>
      <c r="C6" s="12">
        <f>IF($A6="","",SUMIFS('Sales Log'!$E$4:$E$503,'Sales Log'!$B$4:$B$503,$A6))</f>
        <v/>
      </c>
      <c r="D6" s="13">
        <f>IF($A6="","",SUMIFS('Sales Log'!$J$4:$J$503,'Sales Log'!$B$4:$B$503,$A6))</f>
        <v/>
      </c>
      <c r="E6" s="13">
        <f>IF($A6="","",SUMIFS('Sales Log'!$L$4:$L$503,'Sales Log'!$B$4:$B$503,$A6))</f>
        <v/>
      </c>
      <c r="F6" s="13">
        <f>IF($A6="","",D6-E6)</f>
        <v/>
      </c>
      <c r="G6" s="14">
        <f>IF(N(D6)&gt;0,F6/D6,"")</f>
        <v/>
      </c>
      <c r="H6" s="13">
        <f>IF($A6="","",SUMIFS('Sales Log'!$P$4:$P$503,'Sales Log'!$B$4:$B$503,$A6))</f>
        <v/>
      </c>
      <c r="I6" s="13">
        <f>IF($A6="","",IFERROR(INDEX(Shows!$O$4:$O$23,MATCH($A6,Shows!$A$4:$A$23,0)),0))</f>
        <v/>
      </c>
      <c r="J6" s="13">
        <f>IF($A6="","",F6-H6-I6)</f>
        <v/>
      </c>
      <c r="K6" s="13">
        <f>IF(N(G6)&gt;0,(I6+H6)/G6,"")</f>
        <v/>
      </c>
      <c r="L6" s="13">
        <f>IF($A6="","",SUMIFS('Sales Log'!$K$4:$K$503,'Sales Log'!$B$4:$B$503,$A6))</f>
        <v/>
      </c>
      <c r="M6" s="13">
        <f>IF($A6="","",SUMIFS('Sales Log'!$Q$4:$Q$503,'Sales Log'!$B$4:$B$503,$A6,'Sales Log'!$N$4:$N$503,"Cash"))</f>
        <v/>
      </c>
      <c r="N6" s="13">
        <f>IF($A6="","",SUMIFS('Sales Log'!$Q$4:$Q$503,'Sales Log'!$B$4:$B$503,$A6,'Sales Log'!$N$4:$N$503,"Zelle"))</f>
        <v/>
      </c>
      <c r="O6" s="13">
        <f>IF($A6="","",SUMIFS('Sales Log'!$Q$4:$Q$503,'Sales Log'!$B$4:$B$503,$A6,'Sales Log'!$N$4:$N$503,"Venmo"))</f>
        <v/>
      </c>
      <c r="P6" s="13">
        <f>IF($A6="","",SUMIFS('Sales Log'!$Q$4:$Q$503,'Sales Log'!$B$4:$B$503,$A6,'Sales Log'!$N$4:$N$503,"Card"))</f>
        <v/>
      </c>
      <c r="Q6" s="13">
        <f>IF($A6="","",SUMIFS('Sales Log'!$Q$4:$Q$503,'Sales Log'!$B$4:$B$503,$A6,'Sales Log'!$N$4:$N$503,"Check"))</f>
        <v/>
      </c>
      <c r="R6" s="13">
        <f>IF($A6="","",SUMIFS('Sales Log'!$Q$4:$Q$503,'Sales Log'!$B$4:$B$503,$A6,'Sales Log'!$N$4:$N$503,"Trade"))</f>
        <v/>
      </c>
    </row>
    <row r="7">
      <c r="A7" s="15">
        <f>IF(Shows!$A$7="","",Shows!$A$7)</f>
        <v/>
      </c>
      <c r="B7" s="16">
        <f>IF($A7="","",COUNTIFS('Sales Log'!$B$4:$B$503,$A7))</f>
        <v/>
      </c>
      <c r="C7" s="16">
        <f>IF($A7="","",SUMIFS('Sales Log'!$E$4:$E$503,'Sales Log'!$B$4:$B$503,$A7))</f>
        <v/>
      </c>
      <c r="D7" s="17">
        <f>IF($A7="","",SUMIFS('Sales Log'!$J$4:$J$503,'Sales Log'!$B$4:$B$503,$A7))</f>
        <v/>
      </c>
      <c r="E7" s="17">
        <f>IF($A7="","",SUMIFS('Sales Log'!$L$4:$L$503,'Sales Log'!$B$4:$B$503,$A7))</f>
        <v/>
      </c>
      <c r="F7" s="17">
        <f>IF($A7="","",D7-E7)</f>
        <v/>
      </c>
      <c r="G7" s="18">
        <f>IF(N(D7)&gt;0,F7/D7,"")</f>
        <v/>
      </c>
      <c r="H7" s="17">
        <f>IF($A7="","",SUMIFS('Sales Log'!$P$4:$P$503,'Sales Log'!$B$4:$B$503,$A7))</f>
        <v/>
      </c>
      <c r="I7" s="17">
        <f>IF($A7="","",IFERROR(INDEX(Shows!$O$4:$O$23,MATCH($A7,Shows!$A$4:$A$23,0)),0))</f>
        <v/>
      </c>
      <c r="J7" s="17">
        <f>IF($A7="","",F7-H7-I7)</f>
        <v/>
      </c>
      <c r="K7" s="17">
        <f>IF(N(G7)&gt;0,(I7+H7)/G7,"")</f>
        <v/>
      </c>
      <c r="L7" s="17">
        <f>IF($A7="","",SUMIFS('Sales Log'!$K$4:$K$503,'Sales Log'!$B$4:$B$503,$A7))</f>
        <v/>
      </c>
      <c r="M7" s="17">
        <f>IF($A7="","",SUMIFS('Sales Log'!$Q$4:$Q$503,'Sales Log'!$B$4:$B$503,$A7,'Sales Log'!$N$4:$N$503,"Cash"))</f>
        <v/>
      </c>
      <c r="N7" s="17">
        <f>IF($A7="","",SUMIFS('Sales Log'!$Q$4:$Q$503,'Sales Log'!$B$4:$B$503,$A7,'Sales Log'!$N$4:$N$503,"Zelle"))</f>
        <v/>
      </c>
      <c r="O7" s="17">
        <f>IF($A7="","",SUMIFS('Sales Log'!$Q$4:$Q$503,'Sales Log'!$B$4:$B$503,$A7,'Sales Log'!$N$4:$N$503,"Venmo"))</f>
        <v/>
      </c>
      <c r="P7" s="17">
        <f>IF($A7="","",SUMIFS('Sales Log'!$Q$4:$Q$503,'Sales Log'!$B$4:$B$503,$A7,'Sales Log'!$N$4:$N$503,"Card"))</f>
        <v/>
      </c>
      <c r="Q7" s="17">
        <f>IF($A7="","",SUMIFS('Sales Log'!$Q$4:$Q$503,'Sales Log'!$B$4:$B$503,$A7,'Sales Log'!$N$4:$N$503,"Check"))</f>
        <v/>
      </c>
      <c r="R7" s="17">
        <f>IF($A7="","",SUMIFS('Sales Log'!$Q$4:$Q$503,'Sales Log'!$B$4:$B$503,$A7,'Sales Log'!$N$4:$N$503,"Trade"))</f>
        <v/>
      </c>
    </row>
    <row r="8">
      <c r="A8" s="11">
        <f>IF(Shows!$A$8="","",Shows!$A$8)</f>
        <v/>
      </c>
      <c r="B8" s="12">
        <f>IF($A8="","",COUNTIFS('Sales Log'!$B$4:$B$503,$A8))</f>
        <v/>
      </c>
      <c r="C8" s="12">
        <f>IF($A8="","",SUMIFS('Sales Log'!$E$4:$E$503,'Sales Log'!$B$4:$B$503,$A8))</f>
        <v/>
      </c>
      <c r="D8" s="13">
        <f>IF($A8="","",SUMIFS('Sales Log'!$J$4:$J$503,'Sales Log'!$B$4:$B$503,$A8))</f>
        <v/>
      </c>
      <c r="E8" s="13">
        <f>IF($A8="","",SUMIFS('Sales Log'!$L$4:$L$503,'Sales Log'!$B$4:$B$503,$A8))</f>
        <v/>
      </c>
      <c r="F8" s="13">
        <f>IF($A8="","",D8-E8)</f>
        <v/>
      </c>
      <c r="G8" s="14">
        <f>IF(N(D8)&gt;0,F8/D8,"")</f>
        <v/>
      </c>
      <c r="H8" s="13">
        <f>IF($A8="","",SUMIFS('Sales Log'!$P$4:$P$503,'Sales Log'!$B$4:$B$503,$A8))</f>
        <v/>
      </c>
      <c r="I8" s="13">
        <f>IF($A8="","",IFERROR(INDEX(Shows!$O$4:$O$23,MATCH($A8,Shows!$A$4:$A$23,0)),0))</f>
        <v/>
      </c>
      <c r="J8" s="13">
        <f>IF($A8="","",F8-H8-I8)</f>
        <v/>
      </c>
      <c r="K8" s="13">
        <f>IF(N(G8)&gt;0,(I8+H8)/G8,"")</f>
        <v/>
      </c>
      <c r="L8" s="13">
        <f>IF($A8="","",SUMIFS('Sales Log'!$K$4:$K$503,'Sales Log'!$B$4:$B$503,$A8))</f>
        <v/>
      </c>
      <c r="M8" s="13">
        <f>IF($A8="","",SUMIFS('Sales Log'!$Q$4:$Q$503,'Sales Log'!$B$4:$B$503,$A8,'Sales Log'!$N$4:$N$503,"Cash"))</f>
        <v/>
      </c>
      <c r="N8" s="13">
        <f>IF($A8="","",SUMIFS('Sales Log'!$Q$4:$Q$503,'Sales Log'!$B$4:$B$503,$A8,'Sales Log'!$N$4:$N$503,"Zelle"))</f>
        <v/>
      </c>
      <c r="O8" s="13">
        <f>IF($A8="","",SUMIFS('Sales Log'!$Q$4:$Q$503,'Sales Log'!$B$4:$B$503,$A8,'Sales Log'!$N$4:$N$503,"Venmo"))</f>
        <v/>
      </c>
      <c r="P8" s="13">
        <f>IF($A8="","",SUMIFS('Sales Log'!$Q$4:$Q$503,'Sales Log'!$B$4:$B$503,$A8,'Sales Log'!$N$4:$N$503,"Card"))</f>
        <v/>
      </c>
      <c r="Q8" s="13">
        <f>IF($A8="","",SUMIFS('Sales Log'!$Q$4:$Q$503,'Sales Log'!$B$4:$B$503,$A8,'Sales Log'!$N$4:$N$503,"Check"))</f>
        <v/>
      </c>
      <c r="R8" s="13">
        <f>IF($A8="","",SUMIFS('Sales Log'!$Q$4:$Q$503,'Sales Log'!$B$4:$B$503,$A8,'Sales Log'!$N$4:$N$503,"Trade"))</f>
        <v/>
      </c>
    </row>
    <row r="9">
      <c r="A9" s="15">
        <f>IF(Shows!$A$9="","",Shows!$A$9)</f>
        <v/>
      </c>
      <c r="B9" s="16">
        <f>IF($A9="","",COUNTIFS('Sales Log'!$B$4:$B$503,$A9))</f>
        <v/>
      </c>
      <c r="C9" s="16">
        <f>IF($A9="","",SUMIFS('Sales Log'!$E$4:$E$503,'Sales Log'!$B$4:$B$503,$A9))</f>
        <v/>
      </c>
      <c r="D9" s="17">
        <f>IF($A9="","",SUMIFS('Sales Log'!$J$4:$J$503,'Sales Log'!$B$4:$B$503,$A9))</f>
        <v/>
      </c>
      <c r="E9" s="17">
        <f>IF($A9="","",SUMIFS('Sales Log'!$L$4:$L$503,'Sales Log'!$B$4:$B$503,$A9))</f>
        <v/>
      </c>
      <c r="F9" s="17">
        <f>IF($A9="","",D9-E9)</f>
        <v/>
      </c>
      <c r="G9" s="18">
        <f>IF(N(D9)&gt;0,F9/D9,"")</f>
        <v/>
      </c>
      <c r="H9" s="17">
        <f>IF($A9="","",SUMIFS('Sales Log'!$P$4:$P$503,'Sales Log'!$B$4:$B$503,$A9))</f>
        <v/>
      </c>
      <c r="I9" s="17">
        <f>IF($A9="","",IFERROR(INDEX(Shows!$O$4:$O$23,MATCH($A9,Shows!$A$4:$A$23,0)),0))</f>
        <v/>
      </c>
      <c r="J9" s="17">
        <f>IF($A9="","",F9-H9-I9)</f>
        <v/>
      </c>
      <c r="K9" s="17">
        <f>IF(N(G9)&gt;0,(I9+H9)/G9,"")</f>
        <v/>
      </c>
      <c r="L9" s="17">
        <f>IF($A9="","",SUMIFS('Sales Log'!$K$4:$K$503,'Sales Log'!$B$4:$B$503,$A9))</f>
        <v/>
      </c>
      <c r="M9" s="17">
        <f>IF($A9="","",SUMIFS('Sales Log'!$Q$4:$Q$503,'Sales Log'!$B$4:$B$503,$A9,'Sales Log'!$N$4:$N$503,"Cash"))</f>
        <v/>
      </c>
      <c r="N9" s="17">
        <f>IF($A9="","",SUMIFS('Sales Log'!$Q$4:$Q$503,'Sales Log'!$B$4:$B$503,$A9,'Sales Log'!$N$4:$N$503,"Zelle"))</f>
        <v/>
      </c>
      <c r="O9" s="17">
        <f>IF($A9="","",SUMIFS('Sales Log'!$Q$4:$Q$503,'Sales Log'!$B$4:$B$503,$A9,'Sales Log'!$N$4:$N$503,"Venmo"))</f>
        <v/>
      </c>
      <c r="P9" s="17">
        <f>IF($A9="","",SUMIFS('Sales Log'!$Q$4:$Q$503,'Sales Log'!$B$4:$B$503,$A9,'Sales Log'!$N$4:$N$503,"Card"))</f>
        <v/>
      </c>
      <c r="Q9" s="17">
        <f>IF($A9="","",SUMIFS('Sales Log'!$Q$4:$Q$503,'Sales Log'!$B$4:$B$503,$A9,'Sales Log'!$N$4:$N$503,"Check"))</f>
        <v/>
      </c>
      <c r="R9" s="17">
        <f>IF($A9="","",SUMIFS('Sales Log'!$Q$4:$Q$503,'Sales Log'!$B$4:$B$503,$A9,'Sales Log'!$N$4:$N$503,"Trade"))</f>
        <v/>
      </c>
    </row>
    <row r="10">
      <c r="A10" s="11">
        <f>IF(Shows!$A$10="","",Shows!$A$10)</f>
        <v/>
      </c>
      <c r="B10" s="12">
        <f>IF($A10="","",COUNTIFS('Sales Log'!$B$4:$B$503,$A10))</f>
        <v/>
      </c>
      <c r="C10" s="12">
        <f>IF($A10="","",SUMIFS('Sales Log'!$E$4:$E$503,'Sales Log'!$B$4:$B$503,$A10))</f>
        <v/>
      </c>
      <c r="D10" s="13">
        <f>IF($A10="","",SUMIFS('Sales Log'!$J$4:$J$503,'Sales Log'!$B$4:$B$503,$A10))</f>
        <v/>
      </c>
      <c r="E10" s="13">
        <f>IF($A10="","",SUMIFS('Sales Log'!$L$4:$L$503,'Sales Log'!$B$4:$B$503,$A10))</f>
        <v/>
      </c>
      <c r="F10" s="13">
        <f>IF($A10="","",D10-E10)</f>
        <v/>
      </c>
      <c r="G10" s="14">
        <f>IF(N(D10)&gt;0,F10/D10,"")</f>
        <v/>
      </c>
      <c r="H10" s="13">
        <f>IF($A10="","",SUMIFS('Sales Log'!$P$4:$P$503,'Sales Log'!$B$4:$B$503,$A10))</f>
        <v/>
      </c>
      <c r="I10" s="13">
        <f>IF($A10="","",IFERROR(INDEX(Shows!$O$4:$O$23,MATCH($A10,Shows!$A$4:$A$23,0)),0))</f>
        <v/>
      </c>
      <c r="J10" s="13">
        <f>IF($A10="","",F10-H10-I10)</f>
        <v/>
      </c>
      <c r="K10" s="13">
        <f>IF(N(G10)&gt;0,(I10+H10)/G10,"")</f>
        <v/>
      </c>
      <c r="L10" s="13">
        <f>IF($A10="","",SUMIFS('Sales Log'!$K$4:$K$503,'Sales Log'!$B$4:$B$503,$A10))</f>
        <v/>
      </c>
      <c r="M10" s="13">
        <f>IF($A10="","",SUMIFS('Sales Log'!$Q$4:$Q$503,'Sales Log'!$B$4:$B$503,$A10,'Sales Log'!$N$4:$N$503,"Cash"))</f>
        <v/>
      </c>
      <c r="N10" s="13">
        <f>IF($A10="","",SUMIFS('Sales Log'!$Q$4:$Q$503,'Sales Log'!$B$4:$B$503,$A10,'Sales Log'!$N$4:$N$503,"Zelle"))</f>
        <v/>
      </c>
      <c r="O10" s="13">
        <f>IF($A10="","",SUMIFS('Sales Log'!$Q$4:$Q$503,'Sales Log'!$B$4:$B$503,$A10,'Sales Log'!$N$4:$N$503,"Venmo"))</f>
        <v/>
      </c>
      <c r="P10" s="13">
        <f>IF($A10="","",SUMIFS('Sales Log'!$Q$4:$Q$503,'Sales Log'!$B$4:$B$503,$A10,'Sales Log'!$N$4:$N$503,"Card"))</f>
        <v/>
      </c>
      <c r="Q10" s="13">
        <f>IF($A10="","",SUMIFS('Sales Log'!$Q$4:$Q$503,'Sales Log'!$B$4:$B$503,$A10,'Sales Log'!$N$4:$N$503,"Check"))</f>
        <v/>
      </c>
      <c r="R10" s="13">
        <f>IF($A10="","",SUMIFS('Sales Log'!$Q$4:$Q$503,'Sales Log'!$B$4:$B$503,$A10,'Sales Log'!$N$4:$N$503,"Trade"))</f>
        <v/>
      </c>
    </row>
    <row r="11">
      <c r="A11" s="15">
        <f>IF(Shows!$A$11="","",Shows!$A$11)</f>
        <v/>
      </c>
      <c r="B11" s="16">
        <f>IF($A11="","",COUNTIFS('Sales Log'!$B$4:$B$503,$A11))</f>
        <v/>
      </c>
      <c r="C11" s="16">
        <f>IF($A11="","",SUMIFS('Sales Log'!$E$4:$E$503,'Sales Log'!$B$4:$B$503,$A11))</f>
        <v/>
      </c>
      <c r="D11" s="17">
        <f>IF($A11="","",SUMIFS('Sales Log'!$J$4:$J$503,'Sales Log'!$B$4:$B$503,$A11))</f>
        <v/>
      </c>
      <c r="E11" s="17">
        <f>IF($A11="","",SUMIFS('Sales Log'!$L$4:$L$503,'Sales Log'!$B$4:$B$503,$A11))</f>
        <v/>
      </c>
      <c r="F11" s="17">
        <f>IF($A11="","",D11-E11)</f>
        <v/>
      </c>
      <c r="G11" s="18">
        <f>IF(N(D11)&gt;0,F11/D11,"")</f>
        <v/>
      </c>
      <c r="H11" s="17">
        <f>IF($A11="","",SUMIFS('Sales Log'!$P$4:$P$503,'Sales Log'!$B$4:$B$503,$A11))</f>
        <v/>
      </c>
      <c r="I11" s="17">
        <f>IF($A11="","",IFERROR(INDEX(Shows!$O$4:$O$23,MATCH($A11,Shows!$A$4:$A$23,0)),0))</f>
        <v/>
      </c>
      <c r="J11" s="17">
        <f>IF($A11="","",F11-H11-I11)</f>
        <v/>
      </c>
      <c r="K11" s="17">
        <f>IF(N(G11)&gt;0,(I11+H11)/G11,"")</f>
        <v/>
      </c>
      <c r="L11" s="17">
        <f>IF($A11="","",SUMIFS('Sales Log'!$K$4:$K$503,'Sales Log'!$B$4:$B$503,$A11))</f>
        <v/>
      </c>
      <c r="M11" s="17">
        <f>IF($A11="","",SUMIFS('Sales Log'!$Q$4:$Q$503,'Sales Log'!$B$4:$B$503,$A11,'Sales Log'!$N$4:$N$503,"Cash"))</f>
        <v/>
      </c>
      <c r="N11" s="17">
        <f>IF($A11="","",SUMIFS('Sales Log'!$Q$4:$Q$503,'Sales Log'!$B$4:$B$503,$A11,'Sales Log'!$N$4:$N$503,"Zelle"))</f>
        <v/>
      </c>
      <c r="O11" s="17">
        <f>IF($A11="","",SUMIFS('Sales Log'!$Q$4:$Q$503,'Sales Log'!$B$4:$B$503,$A11,'Sales Log'!$N$4:$N$503,"Venmo"))</f>
        <v/>
      </c>
      <c r="P11" s="17">
        <f>IF($A11="","",SUMIFS('Sales Log'!$Q$4:$Q$503,'Sales Log'!$B$4:$B$503,$A11,'Sales Log'!$N$4:$N$503,"Card"))</f>
        <v/>
      </c>
      <c r="Q11" s="17">
        <f>IF($A11="","",SUMIFS('Sales Log'!$Q$4:$Q$503,'Sales Log'!$B$4:$B$503,$A11,'Sales Log'!$N$4:$N$503,"Check"))</f>
        <v/>
      </c>
      <c r="R11" s="17">
        <f>IF($A11="","",SUMIFS('Sales Log'!$Q$4:$Q$503,'Sales Log'!$B$4:$B$503,$A11,'Sales Log'!$N$4:$N$503,"Trade"))</f>
        <v/>
      </c>
    </row>
    <row r="12">
      <c r="A12" s="11">
        <f>IF(Shows!$A$12="","",Shows!$A$12)</f>
        <v/>
      </c>
      <c r="B12" s="12">
        <f>IF($A12="","",COUNTIFS('Sales Log'!$B$4:$B$503,$A12))</f>
        <v/>
      </c>
      <c r="C12" s="12">
        <f>IF($A12="","",SUMIFS('Sales Log'!$E$4:$E$503,'Sales Log'!$B$4:$B$503,$A12))</f>
        <v/>
      </c>
      <c r="D12" s="13">
        <f>IF($A12="","",SUMIFS('Sales Log'!$J$4:$J$503,'Sales Log'!$B$4:$B$503,$A12))</f>
        <v/>
      </c>
      <c r="E12" s="13">
        <f>IF($A12="","",SUMIFS('Sales Log'!$L$4:$L$503,'Sales Log'!$B$4:$B$503,$A12))</f>
        <v/>
      </c>
      <c r="F12" s="13">
        <f>IF($A12="","",D12-E12)</f>
        <v/>
      </c>
      <c r="G12" s="14">
        <f>IF(N(D12)&gt;0,F12/D12,"")</f>
        <v/>
      </c>
      <c r="H12" s="13">
        <f>IF($A12="","",SUMIFS('Sales Log'!$P$4:$P$503,'Sales Log'!$B$4:$B$503,$A12))</f>
        <v/>
      </c>
      <c r="I12" s="13">
        <f>IF($A12="","",IFERROR(INDEX(Shows!$O$4:$O$23,MATCH($A12,Shows!$A$4:$A$23,0)),0))</f>
        <v/>
      </c>
      <c r="J12" s="13">
        <f>IF($A12="","",F12-H12-I12)</f>
        <v/>
      </c>
      <c r="K12" s="13">
        <f>IF(N(G12)&gt;0,(I12+H12)/G12,"")</f>
        <v/>
      </c>
      <c r="L12" s="13">
        <f>IF($A12="","",SUMIFS('Sales Log'!$K$4:$K$503,'Sales Log'!$B$4:$B$503,$A12))</f>
        <v/>
      </c>
      <c r="M12" s="13">
        <f>IF($A12="","",SUMIFS('Sales Log'!$Q$4:$Q$503,'Sales Log'!$B$4:$B$503,$A12,'Sales Log'!$N$4:$N$503,"Cash"))</f>
        <v/>
      </c>
      <c r="N12" s="13">
        <f>IF($A12="","",SUMIFS('Sales Log'!$Q$4:$Q$503,'Sales Log'!$B$4:$B$503,$A12,'Sales Log'!$N$4:$N$503,"Zelle"))</f>
        <v/>
      </c>
      <c r="O12" s="13">
        <f>IF($A12="","",SUMIFS('Sales Log'!$Q$4:$Q$503,'Sales Log'!$B$4:$B$503,$A12,'Sales Log'!$N$4:$N$503,"Venmo"))</f>
        <v/>
      </c>
      <c r="P12" s="13">
        <f>IF($A12="","",SUMIFS('Sales Log'!$Q$4:$Q$503,'Sales Log'!$B$4:$B$503,$A12,'Sales Log'!$N$4:$N$503,"Card"))</f>
        <v/>
      </c>
      <c r="Q12" s="13">
        <f>IF($A12="","",SUMIFS('Sales Log'!$Q$4:$Q$503,'Sales Log'!$B$4:$B$503,$A12,'Sales Log'!$N$4:$N$503,"Check"))</f>
        <v/>
      </c>
      <c r="R12" s="13">
        <f>IF($A12="","",SUMIFS('Sales Log'!$Q$4:$Q$503,'Sales Log'!$B$4:$B$503,$A12,'Sales Log'!$N$4:$N$503,"Trade"))</f>
        <v/>
      </c>
    </row>
    <row r="13">
      <c r="A13" s="15">
        <f>IF(Shows!$A$13="","",Shows!$A$13)</f>
        <v/>
      </c>
      <c r="B13" s="16">
        <f>IF($A13="","",COUNTIFS('Sales Log'!$B$4:$B$503,$A13))</f>
        <v/>
      </c>
      <c r="C13" s="16">
        <f>IF($A13="","",SUMIFS('Sales Log'!$E$4:$E$503,'Sales Log'!$B$4:$B$503,$A13))</f>
        <v/>
      </c>
      <c r="D13" s="17">
        <f>IF($A13="","",SUMIFS('Sales Log'!$J$4:$J$503,'Sales Log'!$B$4:$B$503,$A13))</f>
        <v/>
      </c>
      <c r="E13" s="17">
        <f>IF($A13="","",SUMIFS('Sales Log'!$L$4:$L$503,'Sales Log'!$B$4:$B$503,$A13))</f>
        <v/>
      </c>
      <c r="F13" s="17">
        <f>IF($A13="","",D13-E13)</f>
        <v/>
      </c>
      <c r="G13" s="18">
        <f>IF(N(D13)&gt;0,F13/D13,"")</f>
        <v/>
      </c>
      <c r="H13" s="17">
        <f>IF($A13="","",SUMIFS('Sales Log'!$P$4:$P$503,'Sales Log'!$B$4:$B$503,$A13))</f>
        <v/>
      </c>
      <c r="I13" s="17">
        <f>IF($A13="","",IFERROR(INDEX(Shows!$O$4:$O$23,MATCH($A13,Shows!$A$4:$A$23,0)),0))</f>
        <v/>
      </c>
      <c r="J13" s="17">
        <f>IF($A13="","",F13-H13-I13)</f>
        <v/>
      </c>
      <c r="K13" s="17">
        <f>IF(N(G13)&gt;0,(I13+H13)/G13,"")</f>
        <v/>
      </c>
      <c r="L13" s="17">
        <f>IF($A13="","",SUMIFS('Sales Log'!$K$4:$K$503,'Sales Log'!$B$4:$B$503,$A13))</f>
        <v/>
      </c>
      <c r="M13" s="17">
        <f>IF($A13="","",SUMIFS('Sales Log'!$Q$4:$Q$503,'Sales Log'!$B$4:$B$503,$A13,'Sales Log'!$N$4:$N$503,"Cash"))</f>
        <v/>
      </c>
      <c r="N13" s="17">
        <f>IF($A13="","",SUMIFS('Sales Log'!$Q$4:$Q$503,'Sales Log'!$B$4:$B$503,$A13,'Sales Log'!$N$4:$N$503,"Zelle"))</f>
        <v/>
      </c>
      <c r="O13" s="17">
        <f>IF($A13="","",SUMIFS('Sales Log'!$Q$4:$Q$503,'Sales Log'!$B$4:$B$503,$A13,'Sales Log'!$N$4:$N$503,"Venmo"))</f>
        <v/>
      </c>
      <c r="P13" s="17">
        <f>IF($A13="","",SUMIFS('Sales Log'!$Q$4:$Q$503,'Sales Log'!$B$4:$B$503,$A13,'Sales Log'!$N$4:$N$503,"Card"))</f>
        <v/>
      </c>
      <c r="Q13" s="17">
        <f>IF($A13="","",SUMIFS('Sales Log'!$Q$4:$Q$503,'Sales Log'!$B$4:$B$503,$A13,'Sales Log'!$N$4:$N$503,"Check"))</f>
        <v/>
      </c>
      <c r="R13" s="17">
        <f>IF($A13="","",SUMIFS('Sales Log'!$Q$4:$Q$503,'Sales Log'!$B$4:$B$503,$A13,'Sales Log'!$N$4:$N$503,"Trade"))</f>
        <v/>
      </c>
    </row>
    <row r="14">
      <c r="A14" s="11">
        <f>IF(Shows!$A$14="","",Shows!$A$14)</f>
        <v/>
      </c>
      <c r="B14" s="12">
        <f>IF($A14="","",COUNTIFS('Sales Log'!$B$4:$B$503,$A14))</f>
        <v/>
      </c>
      <c r="C14" s="12">
        <f>IF($A14="","",SUMIFS('Sales Log'!$E$4:$E$503,'Sales Log'!$B$4:$B$503,$A14))</f>
        <v/>
      </c>
      <c r="D14" s="13">
        <f>IF($A14="","",SUMIFS('Sales Log'!$J$4:$J$503,'Sales Log'!$B$4:$B$503,$A14))</f>
        <v/>
      </c>
      <c r="E14" s="13">
        <f>IF($A14="","",SUMIFS('Sales Log'!$L$4:$L$503,'Sales Log'!$B$4:$B$503,$A14))</f>
        <v/>
      </c>
      <c r="F14" s="13">
        <f>IF($A14="","",D14-E14)</f>
        <v/>
      </c>
      <c r="G14" s="14">
        <f>IF(N(D14)&gt;0,F14/D14,"")</f>
        <v/>
      </c>
      <c r="H14" s="13">
        <f>IF($A14="","",SUMIFS('Sales Log'!$P$4:$P$503,'Sales Log'!$B$4:$B$503,$A14))</f>
        <v/>
      </c>
      <c r="I14" s="13">
        <f>IF($A14="","",IFERROR(INDEX(Shows!$O$4:$O$23,MATCH($A14,Shows!$A$4:$A$23,0)),0))</f>
        <v/>
      </c>
      <c r="J14" s="13">
        <f>IF($A14="","",F14-H14-I14)</f>
        <v/>
      </c>
      <c r="K14" s="13">
        <f>IF(N(G14)&gt;0,(I14+H14)/G14,"")</f>
        <v/>
      </c>
      <c r="L14" s="13">
        <f>IF($A14="","",SUMIFS('Sales Log'!$K$4:$K$503,'Sales Log'!$B$4:$B$503,$A14))</f>
        <v/>
      </c>
      <c r="M14" s="13">
        <f>IF($A14="","",SUMIFS('Sales Log'!$Q$4:$Q$503,'Sales Log'!$B$4:$B$503,$A14,'Sales Log'!$N$4:$N$503,"Cash"))</f>
        <v/>
      </c>
      <c r="N14" s="13">
        <f>IF($A14="","",SUMIFS('Sales Log'!$Q$4:$Q$503,'Sales Log'!$B$4:$B$503,$A14,'Sales Log'!$N$4:$N$503,"Zelle"))</f>
        <v/>
      </c>
      <c r="O14" s="13">
        <f>IF($A14="","",SUMIFS('Sales Log'!$Q$4:$Q$503,'Sales Log'!$B$4:$B$503,$A14,'Sales Log'!$N$4:$N$503,"Venmo"))</f>
        <v/>
      </c>
      <c r="P14" s="13">
        <f>IF($A14="","",SUMIFS('Sales Log'!$Q$4:$Q$503,'Sales Log'!$B$4:$B$503,$A14,'Sales Log'!$N$4:$N$503,"Card"))</f>
        <v/>
      </c>
      <c r="Q14" s="13">
        <f>IF($A14="","",SUMIFS('Sales Log'!$Q$4:$Q$503,'Sales Log'!$B$4:$B$503,$A14,'Sales Log'!$N$4:$N$503,"Check"))</f>
        <v/>
      </c>
      <c r="R14" s="13">
        <f>IF($A14="","",SUMIFS('Sales Log'!$Q$4:$Q$503,'Sales Log'!$B$4:$B$503,$A14,'Sales Log'!$N$4:$N$503,"Trade"))</f>
        <v/>
      </c>
    </row>
    <row r="15">
      <c r="A15" s="15">
        <f>IF(Shows!$A$15="","",Shows!$A$15)</f>
        <v/>
      </c>
      <c r="B15" s="16">
        <f>IF($A15="","",COUNTIFS('Sales Log'!$B$4:$B$503,$A15))</f>
        <v/>
      </c>
      <c r="C15" s="16">
        <f>IF($A15="","",SUMIFS('Sales Log'!$E$4:$E$503,'Sales Log'!$B$4:$B$503,$A15))</f>
        <v/>
      </c>
      <c r="D15" s="17">
        <f>IF($A15="","",SUMIFS('Sales Log'!$J$4:$J$503,'Sales Log'!$B$4:$B$503,$A15))</f>
        <v/>
      </c>
      <c r="E15" s="17">
        <f>IF($A15="","",SUMIFS('Sales Log'!$L$4:$L$503,'Sales Log'!$B$4:$B$503,$A15))</f>
        <v/>
      </c>
      <c r="F15" s="17">
        <f>IF($A15="","",D15-E15)</f>
        <v/>
      </c>
      <c r="G15" s="18">
        <f>IF(N(D15)&gt;0,F15/D15,"")</f>
        <v/>
      </c>
      <c r="H15" s="17">
        <f>IF($A15="","",SUMIFS('Sales Log'!$P$4:$P$503,'Sales Log'!$B$4:$B$503,$A15))</f>
        <v/>
      </c>
      <c r="I15" s="17">
        <f>IF($A15="","",IFERROR(INDEX(Shows!$O$4:$O$23,MATCH($A15,Shows!$A$4:$A$23,0)),0))</f>
        <v/>
      </c>
      <c r="J15" s="17">
        <f>IF($A15="","",F15-H15-I15)</f>
        <v/>
      </c>
      <c r="K15" s="17">
        <f>IF(N(G15)&gt;0,(I15+H15)/G15,"")</f>
        <v/>
      </c>
      <c r="L15" s="17">
        <f>IF($A15="","",SUMIFS('Sales Log'!$K$4:$K$503,'Sales Log'!$B$4:$B$503,$A15))</f>
        <v/>
      </c>
      <c r="M15" s="17">
        <f>IF($A15="","",SUMIFS('Sales Log'!$Q$4:$Q$503,'Sales Log'!$B$4:$B$503,$A15,'Sales Log'!$N$4:$N$503,"Cash"))</f>
        <v/>
      </c>
      <c r="N15" s="17">
        <f>IF($A15="","",SUMIFS('Sales Log'!$Q$4:$Q$503,'Sales Log'!$B$4:$B$503,$A15,'Sales Log'!$N$4:$N$503,"Zelle"))</f>
        <v/>
      </c>
      <c r="O15" s="17">
        <f>IF($A15="","",SUMIFS('Sales Log'!$Q$4:$Q$503,'Sales Log'!$B$4:$B$503,$A15,'Sales Log'!$N$4:$N$503,"Venmo"))</f>
        <v/>
      </c>
      <c r="P15" s="17">
        <f>IF($A15="","",SUMIFS('Sales Log'!$Q$4:$Q$503,'Sales Log'!$B$4:$B$503,$A15,'Sales Log'!$N$4:$N$503,"Card"))</f>
        <v/>
      </c>
      <c r="Q15" s="17">
        <f>IF($A15="","",SUMIFS('Sales Log'!$Q$4:$Q$503,'Sales Log'!$B$4:$B$503,$A15,'Sales Log'!$N$4:$N$503,"Check"))</f>
        <v/>
      </c>
      <c r="R15" s="17">
        <f>IF($A15="","",SUMIFS('Sales Log'!$Q$4:$Q$503,'Sales Log'!$B$4:$B$503,$A15,'Sales Log'!$N$4:$N$503,"Trade"))</f>
        <v/>
      </c>
    </row>
    <row r="16">
      <c r="A16" s="11">
        <f>IF(Shows!$A$16="","",Shows!$A$16)</f>
        <v/>
      </c>
      <c r="B16" s="12">
        <f>IF($A16="","",COUNTIFS('Sales Log'!$B$4:$B$503,$A16))</f>
        <v/>
      </c>
      <c r="C16" s="12">
        <f>IF($A16="","",SUMIFS('Sales Log'!$E$4:$E$503,'Sales Log'!$B$4:$B$503,$A16))</f>
        <v/>
      </c>
      <c r="D16" s="13">
        <f>IF($A16="","",SUMIFS('Sales Log'!$J$4:$J$503,'Sales Log'!$B$4:$B$503,$A16))</f>
        <v/>
      </c>
      <c r="E16" s="13">
        <f>IF($A16="","",SUMIFS('Sales Log'!$L$4:$L$503,'Sales Log'!$B$4:$B$503,$A16))</f>
        <v/>
      </c>
      <c r="F16" s="13">
        <f>IF($A16="","",D16-E16)</f>
        <v/>
      </c>
      <c r="G16" s="14">
        <f>IF(N(D16)&gt;0,F16/D16,"")</f>
        <v/>
      </c>
      <c r="H16" s="13">
        <f>IF($A16="","",SUMIFS('Sales Log'!$P$4:$P$503,'Sales Log'!$B$4:$B$503,$A16))</f>
        <v/>
      </c>
      <c r="I16" s="13">
        <f>IF($A16="","",IFERROR(INDEX(Shows!$O$4:$O$23,MATCH($A16,Shows!$A$4:$A$23,0)),0))</f>
        <v/>
      </c>
      <c r="J16" s="13">
        <f>IF($A16="","",F16-H16-I16)</f>
        <v/>
      </c>
      <c r="K16" s="13">
        <f>IF(N(G16)&gt;0,(I16+H16)/G16,"")</f>
        <v/>
      </c>
      <c r="L16" s="13">
        <f>IF($A16="","",SUMIFS('Sales Log'!$K$4:$K$503,'Sales Log'!$B$4:$B$503,$A16))</f>
        <v/>
      </c>
      <c r="M16" s="13">
        <f>IF($A16="","",SUMIFS('Sales Log'!$Q$4:$Q$503,'Sales Log'!$B$4:$B$503,$A16,'Sales Log'!$N$4:$N$503,"Cash"))</f>
        <v/>
      </c>
      <c r="N16" s="13">
        <f>IF($A16="","",SUMIFS('Sales Log'!$Q$4:$Q$503,'Sales Log'!$B$4:$B$503,$A16,'Sales Log'!$N$4:$N$503,"Zelle"))</f>
        <v/>
      </c>
      <c r="O16" s="13">
        <f>IF($A16="","",SUMIFS('Sales Log'!$Q$4:$Q$503,'Sales Log'!$B$4:$B$503,$A16,'Sales Log'!$N$4:$N$503,"Venmo"))</f>
        <v/>
      </c>
      <c r="P16" s="13">
        <f>IF($A16="","",SUMIFS('Sales Log'!$Q$4:$Q$503,'Sales Log'!$B$4:$B$503,$A16,'Sales Log'!$N$4:$N$503,"Card"))</f>
        <v/>
      </c>
      <c r="Q16" s="13">
        <f>IF($A16="","",SUMIFS('Sales Log'!$Q$4:$Q$503,'Sales Log'!$B$4:$B$503,$A16,'Sales Log'!$N$4:$N$503,"Check"))</f>
        <v/>
      </c>
      <c r="R16" s="13">
        <f>IF($A16="","",SUMIFS('Sales Log'!$Q$4:$Q$503,'Sales Log'!$B$4:$B$503,$A16,'Sales Log'!$N$4:$N$503,"Trade"))</f>
        <v/>
      </c>
    </row>
    <row r="17">
      <c r="A17" s="15">
        <f>IF(Shows!$A$17="","",Shows!$A$17)</f>
        <v/>
      </c>
      <c r="B17" s="16">
        <f>IF($A17="","",COUNTIFS('Sales Log'!$B$4:$B$503,$A17))</f>
        <v/>
      </c>
      <c r="C17" s="16">
        <f>IF($A17="","",SUMIFS('Sales Log'!$E$4:$E$503,'Sales Log'!$B$4:$B$503,$A17))</f>
        <v/>
      </c>
      <c r="D17" s="17">
        <f>IF($A17="","",SUMIFS('Sales Log'!$J$4:$J$503,'Sales Log'!$B$4:$B$503,$A17))</f>
        <v/>
      </c>
      <c r="E17" s="17">
        <f>IF($A17="","",SUMIFS('Sales Log'!$L$4:$L$503,'Sales Log'!$B$4:$B$503,$A17))</f>
        <v/>
      </c>
      <c r="F17" s="17">
        <f>IF($A17="","",D17-E17)</f>
        <v/>
      </c>
      <c r="G17" s="18">
        <f>IF(N(D17)&gt;0,F17/D17,"")</f>
        <v/>
      </c>
      <c r="H17" s="17">
        <f>IF($A17="","",SUMIFS('Sales Log'!$P$4:$P$503,'Sales Log'!$B$4:$B$503,$A17))</f>
        <v/>
      </c>
      <c r="I17" s="17">
        <f>IF($A17="","",IFERROR(INDEX(Shows!$O$4:$O$23,MATCH($A17,Shows!$A$4:$A$23,0)),0))</f>
        <v/>
      </c>
      <c r="J17" s="17">
        <f>IF($A17="","",F17-H17-I17)</f>
        <v/>
      </c>
      <c r="K17" s="17">
        <f>IF(N(G17)&gt;0,(I17+H17)/G17,"")</f>
        <v/>
      </c>
      <c r="L17" s="17">
        <f>IF($A17="","",SUMIFS('Sales Log'!$K$4:$K$503,'Sales Log'!$B$4:$B$503,$A17))</f>
        <v/>
      </c>
      <c r="M17" s="17">
        <f>IF($A17="","",SUMIFS('Sales Log'!$Q$4:$Q$503,'Sales Log'!$B$4:$B$503,$A17,'Sales Log'!$N$4:$N$503,"Cash"))</f>
        <v/>
      </c>
      <c r="N17" s="17">
        <f>IF($A17="","",SUMIFS('Sales Log'!$Q$4:$Q$503,'Sales Log'!$B$4:$B$503,$A17,'Sales Log'!$N$4:$N$503,"Zelle"))</f>
        <v/>
      </c>
      <c r="O17" s="17">
        <f>IF($A17="","",SUMIFS('Sales Log'!$Q$4:$Q$503,'Sales Log'!$B$4:$B$503,$A17,'Sales Log'!$N$4:$N$503,"Venmo"))</f>
        <v/>
      </c>
      <c r="P17" s="17">
        <f>IF($A17="","",SUMIFS('Sales Log'!$Q$4:$Q$503,'Sales Log'!$B$4:$B$503,$A17,'Sales Log'!$N$4:$N$503,"Card"))</f>
        <v/>
      </c>
      <c r="Q17" s="17">
        <f>IF($A17="","",SUMIFS('Sales Log'!$Q$4:$Q$503,'Sales Log'!$B$4:$B$503,$A17,'Sales Log'!$N$4:$N$503,"Check"))</f>
        <v/>
      </c>
      <c r="R17" s="17">
        <f>IF($A17="","",SUMIFS('Sales Log'!$Q$4:$Q$503,'Sales Log'!$B$4:$B$503,$A17,'Sales Log'!$N$4:$N$503,"Trade"))</f>
        <v/>
      </c>
    </row>
    <row r="18">
      <c r="A18" s="11">
        <f>IF(Shows!$A$18="","",Shows!$A$18)</f>
        <v/>
      </c>
      <c r="B18" s="12">
        <f>IF($A18="","",COUNTIFS('Sales Log'!$B$4:$B$503,$A18))</f>
        <v/>
      </c>
      <c r="C18" s="12">
        <f>IF($A18="","",SUMIFS('Sales Log'!$E$4:$E$503,'Sales Log'!$B$4:$B$503,$A18))</f>
        <v/>
      </c>
      <c r="D18" s="13">
        <f>IF($A18="","",SUMIFS('Sales Log'!$J$4:$J$503,'Sales Log'!$B$4:$B$503,$A18))</f>
        <v/>
      </c>
      <c r="E18" s="13">
        <f>IF($A18="","",SUMIFS('Sales Log'!$L$4:$L$503,'Sales Log'!$B$4:$B$503,$A18))</f>
        <v/>
      </c>
      <c r="F18" s="13">
        <f>IF($A18="","",D18-E18)</f>
        <v/>
      </c>
      <c r="G18" s="14">
        <f>IF(N(D18)&gt;0,F18/D18,"")</f>
        <v/>
      </c>
      <c r="H18" s="13">
        <f>IF($A18="","",SUMIFS('Sales Log'!$P$4:$P$503,'Sales Log'!$B$4:$B$503,$A18))</f>
        <v/>
      </c>
      <c r="I18" s="13">
        <f>IF($A18="","",IFERROR(INDEX(Shows!$O$4:$O$23,MATCH($A18,Shows!$A$4:$A$23,0)),0))</f>
        <v/>
      </c>
      <c r="J18" s="13">
        <f>IF($A18="","",F18-H18-I18)</f>
        <v/>
      </c>
      <c r="K18" s="13">
        <f>IF(N(G18)&gt;0,(I18+H18)/G18,"")</f>
        <v/>
      </c>
      <c r="L18" s="13">
        <f>IF($A18="","",SUMIFS('Sales Log'!$K$4:$K$503,'Sales Log'!$B$4:$B$503,$A18))</f>
        <v/>
      </c>
      <c r="M18" s="13">
        <f>IF($A18="","",SUMIFS('Sales Log'!$Q$4:$Q$503,'Sales Log'!$B$4:$B$503,$A18,'Sales Log'!$N$4:$N$503,"Cash"))</f>
        <v/>
      </c>
      <c r="N18" s="13">
        <f>IF($A18="","",SUMIFS('Sales Log'!$Q$4:$Q$503,'Sales Log'!$B$4:$B$503,$A18,'Sales Log'!$N$4:$N$503,"Zelle"))</f>
        <v/>
      </c>
      <c r="O18" s="13">
        <f>IF($A18="","",SUMIFS('Sales Log'!$Q$4:$Q$503,'Sales Log'!$B$4:$B$503,$A18,'Sales Log'!$N$4:$N$503,"Venmo"))</f>
        <v/>
      </c>
      <c r="P18" s="13">
        <f>IF($A18="","",SUMIFS('Sales Log'!$Q$4:$Q$503,'Sales Log'!$B$4:$B$503,$A18,'Sales Log'!$N$4:$N$503,"Card"))</f>
        <v/>
      </c>
      <c r="Q18" s="13">
        <f>IF($A18="","",SUMIFS('Sales Log'!$Q$4:$Q$503,'Sales Log'!$B$4:$B$503,$A18,'Sales Log'!$N$4:$N$503,"Check"))</f>
        <v/>
      </c>
      <c r="R18" s="13">
        <f>IF($A18="","",SUMIFS('Sales Log'!$Q$4:$Q$503,'Sales Log'!$B$4:$B$503,$A18,'Sales Log'!$N$4:$N$503,"Trade"))</f>
        <v/>
      </c>
    </row>
    <row r="19">
      <c r="A19" s="15">
        <f>IF(Shows!$A$19="","",Shows!$A$19)</f>
        <v/>
      </c>
      <c r="B19" s="16">
        <f>IF($A19="","",COUNTIFS('Sales Log'!$B$4:$B$503,$A19))</f>
        <v/>
      </c>
      <c r="C19" s="16">
        <f>IF($A19="","",SUMIFS('Sales Log'!$E$4:$E$503,'Sales Log'!$B$4:$B$503,$A19))</f>
        <v/>
      </c>
      <c r="D19" s="17">
        <f>IF($A19="","",SUMIFS('Sales Log'!$J$4:$J$503,'Sales Log'!$B$4:$B$503,$A19))</f>
        <v/>
      </c>
      <c r="E19" s="17">
        <f>IF($A19="","",SUMIFS('Sales Log'!$L$4:$L$503,'Sales Log'!$B$4:$B$503,$A19))</f>
        <v/>
      </c>
      <c r="F19" s="17">
        <f>IF($A19="","",D19-E19)</f>
        <v/>
      </c>
      <c r="G19" s="18">
        <f>IF(N(D19)&gt;0,F19/D19,"")</f>
        <v/>
      </c>
      <c r="H19" s="17">
        <f>IF($A19="","",SUMIFS('Sales Log'!$P$4:$P$503,'Sales Log'!$B$4:$B$503,$A19))</f>
        <v/>
      </c>
      <c r="I19" s="17">
        <f>IF($A19="","",IFERROR(INDEX(Shows!$O$4:$O$23,MATCH($A19,Shows!$A$4:$A$23,0)),0))</f>
        <v/>
      </c>
      <c r="J19" s="17">
        <f>IF($A19="","",F19-H19-I19)</f>
        <v/>
      </c>
      <c r="K19" s="17">
        <f>IF(N(G19)&gt;0,(I19+H19)/G19,"")</f>
        <v/>
      </c>
      <c r="L19" s="17">
        <f>IF($A19="","",SUMIFS('Sales Log'!$K$4:$K$503,'Sales Log'!$B$4:$B$503,$A19))</f>
        <v/>
      </c>
      <c r="M19" s="17">
        <f>IF($A19="","",SUMIFS('Sales Log'!$Q$4:$Q$503,'Sales Log'!$B$4:$B$503,$A19,'Sales Log'!$N$4:$N$503,"Cash"))</f>
        <v/>
      </c>
      <c r="N19" s="17">
        <f>IF($A19="","",SUMIFS('Sales Log'!$Q$4:$Q$503,'Sales Log'!$B$4:$B$503,$A19,'Sales Log'!$N$4:$N$503,"Zelle"))</f>
        <v/>
      </c>
      <c r="O19" s="17">
        <f>IF($A19="","",SUMIFS('Sales Log'!$Q$4:$Q$503,'Sales Log'!$B$4:$B$503,$A19,'Sales Log'!$N$4:$N$503,"Venmo"))</f>
        <v/>
      </c>
      <c r="P19" s="17">
        <f>IF($A19="","",SUMIFS('Sales Log'!$Q$4:$Q$503,'Sales Log'!$B$4:$B$503,$A19,'Sales Log'!$N$4:$N$503,"Card"))</f>
        <v/>
      </c>
      <c r="Q19" s="17">
        <f>IF($A19="","",SUMIFS('Sales Log'!$Q$4:$Q$503,'Sales Log'!$B$4:$B$503,$A19,'Sales Log'!$N$4:$N$503,"Check"))</f>
        <v/>
      </c>
      <c r="R19" s="17">
        <f>IF($A19="","",SUMIFS('Sales Log'!$Q$4:$Q$503,'Sales Log'!$B$4:$B$503,$A19,'Sales Log'!$N$4:$N$503,"Trade"))</f>
        <v/>
      </c>
    </row>
    <row r="20">
      <c r="A20" s="11">
        <f>IF(Shows!$A$20="","",Shows!$A$20)</f>
        <v/>
      </c>
      <c r="B20" s="12">
        <f>IF($A20="","",COUNTIFS('Sales Log'!$B$4:$B$503,$A20))</f>
        <v/>
      </c>
      <c r="C20" s="12">
        <f>IF($A20="","",SUMIFS('Sales Log'!$E$4:$E$503,'Sales Log'!$B$4:$B$503,$A20))</f>
        <v/>
      </c>
      <c r="D20" s="13">
        <f>IF($A20="","",SUMIFS('Sales Log'!$J$4:$J$503,'Sales Log'!$B$4:$B$503,$A20))</f>
        <v/>
      </c>
      <c r="E20" s="13">
        <f>IF($A20="","",SUMIFS('Sales Log'!$L$4:$L$503,'Sales Log'!$B$4:$B$503,$A20))</f>
        <v/>
      </c>
      <c r="F20" s="13">
        <f>IF($A20="","",D20-E20)</f>
        <v/>
      </c>
      <c r="G20" s="14">
        <f>IF(N(D20)&gt;0,F20/D20,"")</f>
        <v/>
      </c>
      <c r="H20" s="13">
        <f>IF($A20="","",SUMIFS('Sales Log'!$P$4:$P$503,'Sales Log'!$B$4:$B$503,$A20))</f>
        <v/>
      </c>
      <c r="I20" s="13">
        <f>IF($A20="","",IFERROR(INDEX(Shows!$O$4:$O$23,MATCH($A20,Shows!$A$4:$A$23,0)),0))</f>
        <v/>
      </c>
      <c r="J20" s="13">
        <f>IF($A20="","",F20-H20-I20)</f>
        <v/>
      </c>
      <c r="K20" s="13">
        <f>IF(N(G20)&gt;0,(I20+H20)/G20,"")</f>
        <v/>
      </c>
      <c r="L20" s="13">
        <f>IF($A20="","",SUMIFS('Sales Log'!$K$4:$K$503,'Sales Log'!$B$4:$B$503,$A20))</f>
        <v/>
      </c>
      <c r="M20" s="13">
        <f>IF($A20="","",SUMIFS('Sales Log'!$Q$4:$Q$503,'Sales Log'!$B$4:$B$503,$A20,'Sales Log'!$N$4:$N$503,"Cash"))</f>
        <v/>
      </c>
      <c r="N20" s="13">
        <f>IF($A20="","",SUMIFS('Sales Log'!$Q$4:$Q$503,'Sales Log'!$B$4:$B$503,$A20,'Sales Log'!$N$4:$N$503,"Zelle"))</f>
        <v/>
      </c>
      <c r="O20" s="13">
        <f>IF($A20="","",SUMIFS('Sales Log'!$Q$4:$Q$503,'Sales Log'!$B$4:$B$503,$A20,'Sales Log'!$N$4:$N$503,"Venmo"))</f>
        <v/>
      </c>
      <c r="P20" s="13">
        <f>IF($A20="","",SUMIFS('Sales Log'!$Q$4:$Q$503,'Sales Log'!$B$4:$B$503,$A20,'Sales Log'!$N$4:$N$503,"Card"))</f>
        <v/>
      </c>
      <c r="Q20" s="13">
        <f>IF($A20="","",SUMIFS('Sales Log'!$Q$4:$Q$503,'Sales Log'!$B$4:$B$503,$A20,'Sales Log'!$N$4:$N$503,"Check"))</f>
        <v/>
      </c>
      <c r="R20" s="13">
        <f>IF($A20="","",SUMIFS('Sales Log'!$Q$4:$Q$503,'Sales Log'!$B$4:$B$503,$A20,'Sales Log'!$N$4:$N$503,"Trade"))</f>
        <v/>
      </c>
    </row>
    <row r="21">
      <c r="A21" s="15">
        <f>IF(Shows!$A$21="","",Shows!$A$21)</f>
        <v/>
      </c>
      <c r="B21" s="16">
        <f>IF($A21="","",COUNTIFS('Sales Log'!$B$4:$B$503,$A21))</f>
        <v/>
      </c>
      <c r="C21" s="16">
        <f>IF($A21="","",SUMIFS('Sales Log'!$E$4:$E$503,'Sales Log'!$B$4:$B$503,$A21))</f>
        <v/>
      </c>
      <c r="D21" s="17">
        <f>IF($A21="","",SUMIFS('Sales Log'!$J$4:$J$503,'Sales Log'!$B$4:$B$503,$A21))</f>
        <v/>
      </c>
      <c r="E21" s="17">
        <f>IF($A21="","",SUMIFS('Sales Log'!$L$4:$L$503,'Sales Log'!$B$4:$B$503,$A21))</f>
        <v/>
      </c>
      <c r="F21" s="17">
        <f>IF($A21="","",D21-E21)</f>
        <v/>
      </c>
      <c r="G21" s="18">
        <f>IF(N(D21)&gt;0,F21/D21,"")</f>
        <v/>
      </c>
      <c r="H21" s="17">
        <f>IF($A21="","",SUMIFS('Sales Log'!$P$4:$P$503,'Sales Log'!$B$4:$B$503,$A21))</f>
        <v/>
      </c>
      <c r="I21" s="17">
        <f>IF($A21="","",IFERROR(INDEX(Shows!$O$4:$O$23,MATCH($A21,Shows!$A$4:$A$23,0)),0))</f>
        <v/>
      </c>
      <c r="J21" s="17">
        <f>IF($A21="","",F21-H21-I21)</f>
        <v/>
      </c>
      <c r="K21" s="17">
        <f>IF(N(G21)&gt;0,(I21+H21)/G21,"")</f>
        <v/>
      </c>
      <c r="L21" s="17">
        <f>IF($A21="","",SUMIFS('Sales Log'!$K$4:$K$503,'Sales Log'!$B$4:$B$503,$A21))</f>
        <v/>
      </c>
      <c r="M21" s="17">
        <f>IF($A21="","",SUMIFS('Sales Log'!$Q$4:$Q$503,'Sales Log'!$B$4:$B$503,$A21,'Sales Log'!$N$4:$N$503,"Cash"))</f>
        <v/>
      </c>
      <c r="N21" s="17">
        <f>IF($A21="","",SUMIFS('Sales Log'!$Q$4:$Q$503,'Sales Log'!$B$4:$B$503,$A21,'Sales Log'!$N$4:$N$503,"Zelle"))</f>
        <v/>
      </c>
      <c r="O21" s="17">
        <f>IF($A21="","",SUMIFS('Sales Log'!$Q$4:$Q$503,'Sales Log'!$B$4:$B$503,$A21,'Sales Log'!$N$4:$N$503,"Venmo"))</f>
        <v/>
      </c>
      <c r="P21" s="17">
        <f>IF($A21="","",SUMIFS('Sales Log'!$Q$4:$Q$503,'Sales Log'!$B$4:$B$503,$A21,'Sales Log'!$N$4:$N$503,"Card"))</f>
        <v/>
      </c>
      <c r="Q21" s="17">
        <f>IF($A21="","",SUMIFS('Sales Log'!$Q$4:$Q$503,'Sales Log'!$B$4:$B$503,$A21,'Sales Log'!$N$4:$N$503,"Check"))</f>
        <v/>
      </c>
      <c r="R21" s="17">
        <f>IF($A21="","",SUMIFS('Sales Log'!$Q$4:$Q$503,'Sales Log'!$B$4:$B$503,$A21,'Sales Log'!$N$4:$N$503,"Trade"))</f>
        <v/>
      </c>
    </row>
    <row r="22">
      <c r="A22" s="11">
        <f>IF(Shows!$A$22="","",Shows!$A$22)</f>
        <v/>
      </c>
      <c r="B22" s="12">
        <f>IF($A22="","",COUNTIFS('Sales Log'!$B$4:$B$503,$A22))</f>
        <v/>
      </c>
      <c r="C22" s="12">
        <f>IF($A22="","",SUMIFS('Sales Log'!$E$4:$E$503,'Sales Log'!$B$4:$B$503,$A22))</f>
        <v/>
      </c>
      <c r="D22" s="13">
        <f>IF($A22="","",SUMIFS('Sales Log'!$J$4:$J$503,'Sales Log'!$B$4:$B$503,$A22))</f>
        <v/>
      </c>
      <c r="E22" s="13">
        <f>IF($A22="","",SUMIFS('Sales Log'!$L$4:$L$503,'Sales Log'!$B$4:$B$503,$A22))</f>
        <v/>
      </c>
      <c r="F22" s="13">
        <f>IF($A22="","",D22-E22)</f>
        <v/>
      </c>
      <c r="G22" s="14">
        <f>IF(N(D22)&gt;0,F22/D22,"")</f>
        <v/>
      </c>
      <c r="H22" s="13">
        <f>IF($A22="","",SUMIFS('Sales Log'!$P$4:$P$503,'Sales Log'!$B$4:$B$503,$A22))</f>
        <v/>
      </c>
      <c r="I22" s="13">
        <f>IF($A22="","",IFERROR(INDEX(Shows!$O$4:$O$23,MATCH($A22,Shows!$A$4:$A$23,0)),0))</f>
        <v/>
      </c>
      <c r="J22" s="13">
        <f>IF($A22="","",F22-H22-I22)</f>
        <v/>
      </c>
      <c r="K22" s="13">
        <f>IF(N(G22)&gt;0,(I22+H22)/G22,"")</f>
        <v/>
      </c>
      <c r="L22" s="13">
        <f>IF($A22="","",SUMIFS('Sales Log'!$K$4:$K$503,'Sales Log'!$B$4:$B$503,$A22))</f>
        <v/>
      </c>
      <c r="M22" s="13">
        <f>IF($A22="","",SUMIFS('Sales Log'!$Q$4:$Q$503,'Sales Log'!$B$4:$B$503,$A22,'Sales Log'!$N$4:$N$503,"Cash"))</f>
        <v/>
      </c>
      <c r="N22" s="13">
        <f>IF($A22="","",SUMIFS('Sales Log'!$Q$4:$Q$503,'Sales Log'!$B$4:$B$503,$A22,'Sales Log'!$N$4:$N$503,"Zelle"))</f>
        <v/>
      </c>
      <c r="O22" s="13">
        <f>IF($A22="","",SUMIFS('Sales Log'!$Q$4:$Q$503,'Sales Log'!$B$4:$B$503,$A22,'Sales Log'!$N$4:$N$503,"Venmo"))</f>
        <v/>
      </c>
      <c r="P22" s="13">
        <f>IF($A22="","",SUMIFS('Sales Log'!$Q$4:$Q$503,'Sales Log'!$B$4:$B$503,$A22,'Sales Log'!$N$4:$N$503,"Card"))</f>
        <v/>
      </c>
      <c r="Q22" s="13">
        <f>IF($A22="","",SUMIFS('Sales Log'!$Q$4:$Q$503,'Sales Log'!$B$4:$B$503,$A22,'Sales Log'!$N$4:$N$503,"Check"))</f>
        <v/>
      </c>
      <c r="R22" s="13">
        <f>IF($A22="","",SUMIFS('Sales Log'!$Q$4:$Q$503,'Sales Log'!$B$4:$B$503,$A22,'Sales Log'!$N$4:$N$503,"Trade"))</f>
        <v/>
      </c>
    </row>
    <row r="23">
      <c r="A23" s="15">
        <f>IF(Shows!$A$23="","",Shows!$A$23)</f>
        <v/>
      </c>
      <c r="B23" s="16">
        <f>IF($A23="","",COUNTIFS('Sales Log'!$B$4:$B$503,$A23))</f>
        <v/>
      </c>
      <c r="C23" s="16">
        <f>IF($A23="","",SUMIFS('Sales Log'!$E$4:$E$503,'Sales Log'!$B$4:$B$503,$A23))</f>
        <v/>
      </c>
      <c r="D23" s="17">
        <f>IF($A23="","",SUMIFS('Sales Log'!$J$4:$J$503,'Sales Log'!$B$4:$B$503,$A23))</f>
        <v/>
      </c>
      <c r="E23" s="17">
        <f>IF($A23="","",SUMIFS('Sales Log'!$L$4:$L$503,'Sales Log'!$B$4:$B$503,$A23))</f>
        <v/>
      </c>
      <c r="F23" s="17">
        <f>IF($A23="","",D23-E23)</f>
        <v/>
      </c>
      <c r="G23" s="18">
        <f>IF(N(D23)&gt;0,F23/D23,"")</f>
        <v/>
      </c>
      <c r="H23" s="17">
        <f>IF($A23="","",SUMIFS('Sales Log'!$P$4:$P$503,'Sales Log'!$B$4:$B$503,$A23))</f>
        <v/>
      </c>
      <c r="I23" s="17">
        <f>IF($A23="","",IFERROR(INDEX(Shows!$O$4:$O$23,MATCH($A23,Shows!$A$4:$A$23,0)),0))</f>
        <v/>
      </c>
      <c r="J23" s="17">
        <f>IF($A23="","",F23-H23-I23)</f>
        <v/>
      </c>
      <c r="K23" s="17">
        <f>IF(N(G23)&gt;0,(I23+H23)/G23,"")</f>
        <v/>
      </c>
      <c r="L23" s="17">
        <f>IF($A23="","",SUMIFS('Sales Log'!$K$4:$K$503,'Sales Log'!$B$4:$B$503,$A23))</f>
        <v/>
      </c>
      <c r="M23" s="17">
        <f>IF($A23="","",SUMIFS('Sales Log'!$Q$4:$Q$503,'Sales Log'!$B$4:$B$503,$A23,'Sales Log'!$N$4:$N$503,"Cash"))</f>
        <v/>
      </c>
      <c r="N23" s="17">
        <f>IF($A23="","",SUMIFS('Sales Log'!$Q$4:$Q$503,'Sales Log'!$B$4:$B$503,$A23,'Sales Log'!$N$4:$N$503,"Zelle"))</f>
        <v/>
      </c>
      <c r="O23" s="17">
        <f>IF($A23="","",SUMIFS('Sales Log'!$Q$4:$Q$503,'Sales Log'!$B$4:$B$503,$A23,'Sales Log'!$N$4:$N$503,"Venmo"))</f>
        <v/>
      </c>
      <c r="P23" s="17">
        <f>IF($A23="","",SUMIFS('Sales Log'!$Q$4:$Q$503,'Sales Log'!$B$4:$B$503,$A23,'Sales Log'!$N$4:$N$503,"Card"))</f>
        <v/>
      </c>
      <c r="Q23" s="17">
        <f>IF($A23="","",SUMIFS('Sales Log'!$Q$4:$Q$503,'Sales Log'!$B$4:$B$503,$A23,'Sales Log'!$N$4:$N$503,"Check"))</f>
        <v/>
      </c>
      <c r="R23" s="17">
        <f>IF($A23="","",SUMIFS('Sales Log'!$Q$4:$Q$503,'Sales Log'!$B$4:$B$503,$A23,'Sales Log'!$N$4:$N$503,"Trade"))</f>
        <v/>
      </c>
    </row>
    <row r="24">
      <c r="A24" s="19" t="inlineStr">
        <is>
          <t>SEASON TOTAL</t>
        </is>
      </c>
      <c r="B24" s="20">
        <f>SUM(B4:B23)</f>
        <v/>
      </c>
      <c r="C24" s="20">
        <f>SUM(C4:C23)</f>
        <v/>
      </c>
      <c r="D24" s="21">
        <f>SUM(D4:D23)</f>
        <v/>
      </c>
      <c r="E24" s="21">
        <f>SUM(E4:E23)</f>
        <v/>
      </c>
      <c r="F24" s="21">
        <f>SUM(F4:F23)</f>
        <v/>
      </c>
      <c r="G24" s="22">
        <f>IF(N(D24)&gt;0,F24/D24,"")</f>
        <v/>
      </c>
      <c r="H24" s="21">
        <f>SUM(H4:H23)</f>
        <v/>
      </c>
      <c r="I24" s="21">
        <f>SUM(I4:I23)</f>
        <v/>
      </c>
      <c r="J24" s="21">
        <f>SUM(J4:J23)</f>
        <v/>
      </c>
      <c r="K24" s="21">
        <f>IF(N(G24)&gt;0,(I24+H24)/G24,"")</f>
        <v/>
      </c>
      <c r="L24" s="21">
        <f>SUM(L4:L23)</f>
        <v/>
      </c>
      <c r="M24" s="21">
        <f>SUM(M4:M23)</f>
        <v/>
      </c>
      <c r="N24" s="21">
        <f>SUM(N4:N23)</f>
        <v/>
      </c>
      <c r="O24" s="21">
        <f>SUM(O4:O23)</f>
        <v/>
      </c>
      <c r="P24" s="21">
        <f>SUM(P4:P23)</f>
        <v/>
      </c>
      <c r="Q24" s="21">
        <f>SUM(Q4:Q23)</f>
        <v/>
      </c>
      <c r="R24" s="21">
        <f>SUM(R4:R23)</f>
        <v/>
      </c>
    </row>
    <row r="27">
      <c r="A27" s="23" t="inlineStr">
        <is>
          <t>Inventory position</t>
        </is>
      </c>
      <c r="D27" s="23" t="inlineStr">
        <is>
          <t>Read this before the next show</t>
        </is>
      </c>
    </row>
    <row r="28">
      <c r="A28" s="24" t="inlineStr">
        <is>
          <t>SKUs listed</t>
        </is>
      </c>
      <c r="B28" s="16">
        <f>COUNTA(Inventory!$A$4:$A$253)</f>
        <v/>
      </c>
      <c r="D28" s="25" t="inlineStr">
        <is>
          <t>• NET PROFIT is what you keep after cost of goods, card fees, table, travel, hotel and meals.</t>
        </is>
      </c>
    </row>
    <row r="29">
      <c r="A29" s="24" t="inlineStr">
        <is>
          <t>Units brought</t>
        </is>
      </c>
      <c r="B29" s="16">
        <f>SUM(Inventory!$M$4:$M$253)</f>
        <v/>
      </c>
      <c r="D29" s="25" t="inlineStr">
        <is>
          <t>• Break-even revenue is what you must sell, at your current margin, just to cover the show.</t>
        </is>
      </c>
    </row>
    <row r="30">
      <c r="A30" s="24" t="inlineStr">
        <is>
          <t>Units sold</t>
        </is>
      </c>
      <c r="B30" s="16">
        <f>SUM(Inventory!$N$4:$N$253)</f>
        <v/>
      </c>
      <c r="D30" s="25" t="inlineStr">
        <is>
          <t>• Sales tax collected is owed to the state. Set it aside; it is not income.</t>
        </is>
      </c>
    </row>
    <row r="31">
      <c r="A31" s="24" t="inlineStr">
        <is>
          <t>Units left</t>
        </is>
      </c>
      <c r="B31" s="16">
        <f>SUM(Inventory!$O$4:$O$253)</f>
        <v/>
      </c>
      <c r="D31" s="25" t="inlineStr">
        <is>
          <t>• Cash / Zelle / Venmo / Card columns are your end-of-day reconciliation — count against them nightly.</t>
        </is>
      </c>
    </row>
    <row r="32">
      <c r="A32" s="24" t="inlineStr">
        <is>
          <t>Cost still on the table</t>
        </is>
      </c>
      <c r="B32" s="17">
        <f>SUMIF(Inventory!$O$4:$O$253,"&gt;0",Inventory!$S$4:$S$253)</f>
        <v/>
      </c>
      <c r="D32" s="25" t="inlineStr">
        <is>
          <t>• Sell-through under ~40% usually means you brought too much, or priced too high.</t>
        </is>
      </c>
    </row>
    <row r="33">
      <c r="A33" s="24" t="inlineStr">
        <is>
          <t>Retail still on the table</t>
        </is>
      </c>
      <c r="B33" s="17">
        <f>SUMIF(Inventory!$O$4:$O$253,"&gt;0",Inventory!$T$4:$T$253)</f>
        <v/>
      </c>
    </row>
    <row r="34">
      <c r="A34" s="24" t="inlineStr">
        <is>
          <t>Sell-through rate</t>
        </is>
      </c>
      <c r="B34" s="18">
        <f>IFERROR(SUM(Inventory!$N$4:$N$253)/SUM(Inventory!$M$4:$M$253),"")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8" customWidth="1" min="5" max="5"/>
    <col width="12" customWidth="1" min="6" max="6"/>
    <col width="14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4" customWidth="1" min="21" max="21"/>
    <col width="14" customWidth="1" min="22" max="22"/>
    <col width="18" customWidth="1" min="23" max="23"/>
    <col width="26" customWidth="1" min="24" max="24"/>
    <col width="30" customWidth="1" min="25" max="25"/>
  </cols>
  <sheetData>
    <row r="1">
      <c r="A1" s="9" t="inlineStr">
        <is>
          <t>Inventory — every SKU you put on the table</t>
        </is>
      </c>
    </row>
    <row r="2">
      <c r="A2" s="2" t="inlineStr">
        <is>
          <t>Blue = you type it. Black = calculated, do not overwrite. Qty sold reads the Sales Log automatically. Floor price is the lowest you will accept when someone haggles.</t>
        </is>
      </c>
    </row>
    <row r="3" ht="30" customHeight="1">
      <c r="A3" s="10" t="inlineStr">
        <is>
          <t>SKU</t>
        </is>
      </c>
      <c r="B3" s="10" t="inlineStr">
        <is>
          <t>Brand</t>
        </is>
      </c>
      <c r="C3" s="10" t="inlineStr">
        <is>
          <t>Model</t>
        </is>
      </c>
      <c r="D3" s="10" t="inlineStr">
        <is>
          <t>Variant / finish</t>
        </is>
      </c>
      <c r="E3" s="10" t="inlineStr">
        <is>
          <t>Nib</t>
        </is>
      </c>
      <c r="F3" s="10" t="inlineStr">
        <is>
          <t>Category</t>
        </is>
      </c>
      <c r="G3" s="10" t="inlineStr">
        <is>
          <t>Condition</t>
        </is>
      </c>
      <c r="H3" s="10" t="inlineStr">
        <is>
          <t>Landed cost</t>
        </is>
      </c>
      <c r="I3" s="10" t="inlineStr">
        <is>
          <t>MSRP</t>
        </is>
      </c>
      <c r="J3" s="10" t="inlineStr">
        <is>
          <t>Show price</t>
        </is>
      </c>
      <c r="K3" s="10" t="inlineStr">
        <is>
          <t>Floor price</t>
        </is>
      </c>
      <c r="L3" s="10" t="inlineStr">
        <is>
          <t>Dealer price</t>
        </is>
      </c>
      <c r="M3" s="10" t="inlineStr">
        <is>
          <t>Qty brought</t>
        </is>
      </c>
      <c r="N3" s="10" t="inlineStr">
        <is>
          <t>Qty sold</t>
        </is>
      </c>
      <c r="O3" s="10" t="inlineStr">
        <is>
          <t>Qty left</t>
        </is>
      </c>
      <c r="P3" s="10" t="inlineStr">
        <is>
          <t>Margin @ price</t>
        </is>
      </c>
      <c r="Q3" s="10" t="inlineStr">
        <is>
          <t>Margin @ floor</t>
        </is>
      </c>
      <c r="R3" s="10" t="inlineStr">
        <is>
          <t>Profit / unit</t>
        </is>
      </c>
      <c r="S3" s="10" t="inlineStr">
        <is>
          <t>Cost tied up</t>
        </is>
      </c>
      <c r="T3" s="10" t="inlineStr">
        <is>
          <t>Retail value</t>
        </is>
      </c>
      <c r="U3" s="10" t="inlineStr">
        <is>
          <t>Case / tray</t>
        </is>
      </c>
      <c r="V3" s="10" t="inlineStr">
        <is>
          <t>Serial / lot</t>
        </is>
      </c>
      <c r="W3" s="10" t="inlineStr">
        <is>
          <t>Tags</t>
        </is>
      </c>
      <c r="X3" s="10" t="inlineStr">
        <is>
          <t>Photo link</t>
        </is>
      </c>
      <c r="Y3" s="10" t="inlineStr">
        <is>
          <t>Notes</t>
        </is>
      </c>
    </row>
    <row r="4">
      <c r="A4" s="26" t="inlineStr">
        <is>
          <t>SAI-PROGEAR-M</t>
        </is>
      </c>
      <c r="B4" s="26" t="inlineStr">
        <is>
          <t>Sailor</t>
        </is>
      </c>
      <c r="C4" s="26" t="inlineStr">
        <is>
          <t>Pro Gear Slim</t>
        </is>
      </c>
      <c r="D4" s="26" t="inlineStr">
        <is>
          <t>Sky Blue</t>
        </is>
      </c>
      <c r="E4" s="26" t="inlineStr">
        <is>
          <t>M</t>
        </is>
      </c>
      <c r="F4" s="26" t="inlineStr">
        <is>
          <t>Pen</t>
        </is>
      </c>
      <c r="G4" s="26" t="inlineStr">
        <is>
          <t>New</t>
        </is>
      </c>
      <c r="H4" s="27" t="n">
        <v>168</v>
      </c>
      <c r="I4" s="27" t="n">
        <v>340</v>
      </c>
      <c r="J4" s="27" t="n">
        <v>340</v>
      </c>
      <c r="K4" s="27" t="n">
        <v>290</v>
      </c>
      <c r="L4" s="27" t="n">
        <v>255</v>
      </c>
      <c r="M4" s="28" t="n">
        <v>3</v>
      </c>
      <c r="N4" s="29">
        <f>IF($A4="","",IFERROR(SUMIFS('Sales Log'!$E$4:$E$503,'Sales Log'!$C$4:$C$503,$A4),0))</f>
        <v/>
      </c>
      <c r="O4" s="30">
        <f>IF($A4="","",M4-N4)</f>
        <v/>
      </c>
      <c r="P4" s="31">
        <f>IF(J4&gt;0,(J4-H4)/J4,"")</f>
        <v/>
      </c>
      <c r="Q4" s="31">
        <f>IF(K4&gt;0,(K4-H4)/K4,"")</f>
        <v/>
      </c>
      <c r="R4" s="32">
        <f>IF($A4="","",J4-H4)</f>
        <v/>
      </c>
      <c r="S4" s="32">
        <f>IF($A4="","",O4*H4)</f>
        <v/>
      </c>
      <c r="T4" s="32">
        <f>IF($A4="","",O4*J4)</f>
        <v/>
      </c>
      <c r="U4" s="33" t="inlineStr">
        <is>
          <t>Case 1, tray B</t>
        </is>
      </c>
      <c r="V4" s="26" t="n"/>
      <c r="W4" s="26" t="inlineStr">
        <is>
          <t>limited, japan</t>
        </is>
      </c>
      <c r="X4" s="26" t="n"/>
      <c r="Y4" s="26" t="inlineStr">
        <is>
          <t>EXAMPLE ROW — overwrite or delete it</t>
        </is>
      </c>
    </row>
    <row r="5">
      <c r="A5" s="34" t="n"/>
      <c r="B5" s="34" t="n"/>
      <c r="C5" s="34" t="n"/>
      <c r="D5" s="34" t="n"/>
      <c r="E5" s="34" t="n"/>
      <c r="F5" s="34" t="n"/>
      <c r="G5" s="34" t="n"/>
      <c r="H5" s="35" t="n"/>
      <c r="I5" s="35" t="n"/>
      <c r="J5" s="35" t="n"/>
      <c r="K5" s="35" t="n"/>
      <c r="L5" s="35" t="n"/>
      <c r="M5" s="36" t="n"/>
      <c r="N5" s="37">
        <f>IF($A5="","",IFERROR(SUMIFS('Sales Log'!$E$4:$E$503,'Sales Log'!$C$4:$C$503,$A5),0))</f>
        <v/>
      </c>
      <c r="O5" s="16">
        <f>IF($A5="","",M5-N5)</f>
        <v/>
      </c>
      <c r="P5" s="18">
        <f>IF(J5&gt;0,(J5-H5)/J5,"")</f>
        <v/>
      </c>
      <c r="Q5" s="18">
        <f>IF(K5&gt;0,(K5-H5)/K5,"")</f>
        <v/>
      </c>
      <c r="R5" s="38">
        <f>IF($A5="","",J5-H5)</f>
        <v/>
      </c>
      <c r="S5" s="38">
        <f>IF($A5="","",O5*H5)</f>
        <v/>
      </c>
      <c r="T5" s="38">
        <f>IF($A5="","",O5*J5)</f>
        <v/>
      </c>
      <c r="U5" s="39" t="n"/>
      <c r="V5" s="34" t="n"/>
      <c r="W5" s="34" t="n"/>
      <c r="X5" s="34" t="n"/>
      <c r="Y5" s="34" t="n"/>
    </row>
    <row r="6">
      <c r="A6" s="40" t="n"/>
      <c r="B6" s="40" t="n"/>
      <c r="C6" s="40" t="n"/>
      <c r="D6" s="40" t="n"/>
      <c r="E6" s="40" t="n"/>
      <c r="F6" s="40" t="n"/>
      <c r="G6" s="40" t="n"/>
      <c r="H6" s="41" t="n"/>
      <c r="I6" s="41" t="n"/>
      <c r="J6" s="41" t="n"/>
      <c r="K6" s="41" t="n"/>
      <c r="L6" s="41" t="n"/>
      <c r="M6" s="42" t="n"/>
      <c r="N6" s="43">
        <f>IF($A6="","",IFERROR(SUMIFS('Sales Log'!$E$4:$E$503,'Sales Log'!$C$4:$C$503,$A6),0))</f>
        <v/>
      </c>
      <c r="O6" s="12">
        <f>IF($A6="","",M6-N6)</f>
        <v/>
      </c>
      <c r="P6" s="14">
        <f>IF(J6&gt;0,(J6-H6)/J6,"")</f>
        <v/>
      </c>
      <c r="Q6" s="14">
        <f>IF(K6&gt;0,(K6-H6)/K6,"")</f>
        <v/>
      </c>
      <c r="R6" s="44">
        <f>IF($A6="","",J6-H6)</f>
        <v/>
      </c>
      <c r="S6" s="44">
        <f>IF($A6="","",O6*H6)</f>
        <v/>
      </c>
      <c r="T6" s="44">
        <f>IF($A6="","",O6*J6)</f>
        <v/>
      </c>
      <c r="U6" s="45" t="n"/>
      <c r="V6" s="40" t="n"/>
      <c r="W6" s="40" t="n"/>
      <c r="X6" s="40" t="n"/>
      <c r="Y6" s="40" t="n"/>
    </row>
    <row r="7">
      <c r="A7" s="34" t="n"/>
      <c r="B7" s="34" t="n"/>
      <c r="C7" s="34" t="n"/>
      <c r="D7" s="34" t="n"/>
      <c r="E7" s="34" t="n"/>
      <c r="F7" s="34" t="n"/>
      <c r="G7" s="34" t="n"/>
      <c r="H7" s="35" t="n"/>
      <c r="I7" s="35" t="n"/>
      <c r="J7" s="35" t="n"/>
      <c r="K7" s="35" t="n"/>
      <c r="L7" s="35" t="n"/>
      <c r="M7" s="36" t="n"/>
      <c r="N7" s="37">
        <f>IF($A7="","",IFERROR(SUMIFS('Sales Log'!$E$4:$E$503,'Sales Log'!$C$4:$C$503,$A7),0))</f>
        <v/>
      </c>
      <c r="O7" s="16">
        <f>IF($A7="","",M7-N7)</f>
        <v/>
      </c>
      <c r="P7" s="18">
        <f>IF(J7&gt;0,(J7-H7)/J7,"")</f>
        <v/>
      </c>
      <c r="Q7" s="18">
        <f>IF(K7&gt;0,(K7-H7)/K7,"")</f>
        <v/>
      </c>
      <c r="R7" s="38">
        <f>IF($A7="","",J7-H7)</f>
        <v/>
      </c>
      <c r="S7" s="38">
        <f>IF($A7="","",O7*H7)</f>
        <v/>
      </c>
      <c r="T7" s="38">
        <f>IF($A7="","",O7*J7)</f>
        <v/>
      </c>
      <c r="U7" s="39" t="n"/>
      <c r="V7" s="34" t="n"/>
      <c r="W7" s="34" t="n"/>
      <c r="X7" s="34" t="n"/>
      <c r="Y7" s="34" t="n"/>
    </row>
    <row r="8">
      <c r="A8" s="40" t="n"/>
      <c r="B8" s="40" t="n"/>
      <c r="C8" s="40" t="n"/>
      <c r="D8" s="40" t="n"/>
      <c r="E8" s="40" t="n"/>
      <c r="F8" s="40" t="n"/>
      <c r="G8" s="40" t="n"/>
      <c r="H8" s="41" t="n"/>
      <c r="I8" s="41" t="n"/>
      <c r="J8" s="41" t="n"/>
      <c r="K8" s="41" t="n"/>
      <c r="L8" s="41" t="n"/>
      <c r="M8" s="42" t="n"/>
      <c r="N8" s="43">
        <f>IF($A8="","",IFERROR(SUMIFS('Sales Log'!$E$4:$E$503,'Sales Log'!$C$4:$C$503,$A8),0))</f>
        <v/>
      </c>
      <c r="O8" s="12">
        <f>IF($A8="","",M8-N8)</f>
        <v/>
      </c>
      <c r="P8" s="14">
        <f>IF(J8&gt;0,(J8-H8)/J8,"")</f>
        <v/>
      </c>
      <c r="Q8" s="14">
        <f>IF(K8&gt;0,(K8-H8)/K8,"")</f>
        <v/>
      </c>
      <c r="R8" s="44">
        <f>IF($A8="","",J8-H8)</f>
        <v/>
      </c>
      <c r="S8" s="44">
        <f>IF($A8="","",O8*H8)</f>
        <v/>
      </c>
      <c r="T8" s="44">
        <f>IF($A8="","",O8*J8)</f>
        <v/>
      </c>
      <c r="U8" s="45" t="n"/>
      <c r="V8" s="40" t="n"/>
      <c r="W8" s="40" t="n"/>
      <c r="X8" s="40" t="n"/>
      <c r="Y8" s="40" t="n"/>
    </row>
    <row r="9">
      <c r="A9" s="34" t="n"/>
      <c r="B9" s="34" t="n"/>
      <c r="C9" s="34" t="n"/>
      <c r="D9" s="34" t="n"/>
      <c r="E9" s="34" t="n"/>
      <c r="F9" s="34" t="n"/>
      <c r="G9" s="34" t="n"/>
      <c r="H9" s="35" t="n"/>
      <c r="I9" s="35" t="n"/>
      <c r="J9" s="35" t="n"/>
      <c r="K9" s="35" t="n"/>
      <c r="L9" s="35" t="n"/>
      <c r="M9" s="36" t="n"/>
      <c r="N9" s="37">
        <f>IF($A9="","",IFERROR(SUMIFS('Sales Log'!$E$4:$E$503,'Sales Log'!$C$4:$C$503,$A9),0))</f>
        <v/>
      </c>
      <c r="O9" s="16">
        <f>IF($A9="","",M9-N9)</f>
        <v/>
      </c>
      <c r="P9" s="18">
        <f>IF(J9&gt;0,(J9-H9)/J9,"")</f>
        <v/>
      </c>
      <c r="Q9" s="18">
        <f>IF(K9&gt;0,(K9-H9)/K9,"")</f>
        <v/>
      </c>
      <c r="R9" s="38">
        <f>IF($A9="","",J9-H9)</f>
        <v/>
      </c>
      <c r="S9" s="38">
        <f>IF($A9="","",O9*H9)</f>
        <v/>
      </c>
      <c r="T9" s="38">
        <f>IF($A9="","",O9*J9)</f>
        <v/>
      </c>
      <c r="U9" s="39" t="n"/>
      <c r="V9" s="34" t="n"/>
      <c r="W9" s="34" t="n"/>
      <c r="X9" s="34" t="n"/>
      <c r="Y9" s="34" t="n"/>
    </row>
    <row r="10">
      <c r="A10" s="40" t="n"/>
      <c r="B10" s="40" t="n"/>
      <c r="C10" s="40" t="n"/>
      <c r="D10" s="40" t="n"/>
      <c r="E10" s="40" t="n"/>
      <c r="F10" s="40" t="n"/>
      <c r="G10" s="40" t="n"/>
      <c r="H10" s="41" t="n"/>
      <c r="I10" s="41" t="n"/>
      <c r="J10" s="41" t="n"/>
      <c r="K10" s="41" t="n"/>
      <c r="L10" s="41" t="n"/>
      <c r="M10" s="42" t="n"/>
      <c r="N10" s="43">
        <f>IF($A10="","",IFERROR(SUMIFS('Sales Log'!$E$4:$E$503,'Sales Log'!$C$4:$C$503,$A10),0))</f>
        <v/>
      </c>
      <c r="O10" s="12">
        <f>IF($A10="","",M10-N10)</f>
        <v/>
      </c>
      <c r="P10" s="14">
        <f>IF(J10&gt;0,(J10-H10)/J10,"")</f>
        <v/>
      </c>
      <c r="Q10" s="14">
        <f>IF(K10&gt;0,(K10-H10)/K10,"")</f>
        <v/>
      </c>
      <c r="R10" s="44">
        <f>IF($A10="","",J10-H10)</f>
        <v/>
      </c>
      <c r="S10" s="44">
        <f>IF($A10="","",O10*H10)</f>
        <v/>
      </c>
      <c r="T10" s="44">
        <f>IF($A10="","",O10*J10)</f>
        <v/>
      </c>
      <c r="U10" s="45" t="n"/>
      <c r="V10" s="40" t="n"/>
      <c r="W10" s="40" t="n"/>
      <c r="X10" s="40" t="n"/>
      <c r="Y10" s="40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35" t="n"/>
      <c r="I11" s="35" t="n"/>
      <c r="J11" s="35" t="n"/>
      <c r="K11" s="35" t="n"/>
      <c r="L11" s="35" t="n"/>
      <c r="M11" s="36" t="n"/>
      <c r="N11" s="37">
        <f>IF($A11="","",IFERROR(SUMIFS('Sales Log'!$E$4:$E$503,'Sales Log'!$C$4:$C$503,$A11),0))</f>
        <v/>
      </c>
      <c r="O11" s="16">
        <f>IF($A11="","",M11-N11)</f>
        <v/>
      </c>
      <c r="P11" s="18">
        <f>IF(J11&gt;0,(J11-H11)/J11,"")</f>
        <v/>
      </c>
      <c r="Q11" s="18">
        <f>IF(K11&gt;0,(K11-H11)/K11,"")</f>
        <v/>
      </c>
      <c r="R11" s="38">
        <f>IF($A11="","",J11-H11)</f>
        <v/>
      </c>
      <c r="S11" s="38">
        <f>IF($A11="","",O11*H11)</f>
        <v/>
      </c>
      <c r="T11" s="38">
        <f>IF($A11="","",O11*J11)</f>
        <v/>
      </c>
      <c r="U11" s="39" t="n"/>
      <c r="V11" s="34" t="n"/>
      <c r="W11" s="34" t="n"/>
      <c r="X11" s="34" t="n"/>
      <c r="Y11" s="34" t="n"/>
    </row>
    <row r="12">
      <c r="A12" s="40" t="n"/>
      <c r="B12" s="40" t="n"/>
      <c r="C12" s="40" t="n"/>
      <c r="D12" s="40" t="n"/>
      <c r="E12" s="40" t="n"/>
      <c r="F12" s="40" t="n"/>
      <c r="G12" s="40" t="n"/>
      <c r="H12" s="41" t="n"/>
      <c r="I12" s="41" t="n"/>
      <c r="J12" s="41" t="n"/>
      <c r="K12" s="41" t="n"/>
      <c r="L12" s="41" t="n"/>
      <c r="M12" s="42" t="n"/>
      <c r="N12" s="43">
        <f>IF($A12="","",IFERROR(SUMIFS('Sales Log'!$E$4:$E$503,'Sales Log'!$C$4:$C$503,$A12),0))</f>
        <v/>
      </c>
      <c r="O12" s="12">
        <f>IF($A12="","",M12-N12)</f>
        <v/>
      </c>
      <c r="P12" s="14">
        <f>IF(J12&gt;0,(J12-H12)/J12,"")</f>
        <v/>
      </c>
      <c r="Q12" s="14">
        <f>IF(K12&gt;0,(K12-H12)/K12,"")</f>
        <v/>
      </c>
      <c r="R12" s="44">
        <f>IF($A12="","",J12-H12)</f>
        <v/>
      </c>
      <c r="S12" s="44">
        <f>IF($A12="","",O12*H12)</f>
        <v/>
      </c>
      <c r="T12" s="44">
        <f>IF($A12="","",O12*J12)</f>
        <v/>
      </c>
      <c r="U12" s="45" t="n"/>
      <c r="V12" s="40" t="n"/>
      <c r="W12" s="40" t="n"/>
      <c r="X12" s="40" t="n"/>
      <c r="Y12" s="40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35" t="n"/>
      <c r="I13" s="35" t="n"/>
      <c r="J13" s="35" t="n"/>
      <c r="K13" s="35" t="n"/>
      <c r="L13" s="35" t="n"/>
      <c r="M13" s="36" t="n"/>
      <c r="N13" s="37">
        <f>IF($A13="","",IFERROR(SUMIFS('Sales Log'!$E$4:$E$503,'Sales Log'!$C$4:$C$503,$A13),0))</f>
        <v/>
      </c>
      <c r="O13" s="16">
        <f>IF($A13="","",M13-N13)</f>
        <v/>
      </c>
      <c r="P13" s="18">
        <f>IF(J13&gt;0,(J13-H13)/J13,"")</f>
        <v/>
      </c>
      <c r="Q13" s="18">
        <f>IF(K13&gt;0,(K13-H13)/K13,"")</f>
        <v/>
      </c>
      <c r="R13" s="38">
        <f>IF($A13="","",J13-H13)</f>
        <v/>
      </c>
      <c r="S13" s="38">
        <f>IF($A13="","",O13*H13)</f>
        <v/>
      </c>
      <c r="T13" s="38">
        <f>IF($A13="","",O13*J13)</f>
        <v/>
      </c>
      <c r="U13" s="39" t="n"/>
      <c r="V13" s="34" t="n"/>
      <c r="W13" s="34" t="n"/>
      <c r="X13" s="34" t="n"/>
      <c r="Y13" s="34" t="n"/>
    </row>
    <row r="14">
      <c r="A14" s="40" t="n"/>
      <c r="B14" s="40" t="n"/>
      <c r="C14" s="40" t="n"/>
      <c r="D14" s="40" t="n"/>
      <c r="E14" s="40" t="n"/>
      <c r="F14" s="40" t="n"/>
      <c r="G14" s="40" t="n"/>
      <c r="H14" s="41" t="n"/>
      <c r="I14" s="41" t="n"/>
      <c r="J14" s="41" t="n"/>
      <c r="K14" s="41" t="n"/>
      <c r="L14" s="41" t="n"/>
      <c r="M14" s="42" t="n"/>
      <c r="N14" s="43">
        <f>IF($A14="","",IFERROR(SUMIFS('Sales Log'!$E$4:$E$503,'Sales Log'!$C$4:$C$503,$A14),0))</f>
        <v/>
      </c>
      <c r="O14" s="12">
        <f>IF($A14="","",M14-N14)</f>
        <v/>
      </c>
      <c r="P14" s="14">
        <f>IF(J14&gt;0,(J14-H14)/J14,"")</f>
        <v/>
      </c>
      <c r="Q14" s="14">
        <f>IF(K14&gt;0,(K14-H14)/K14,"")</f>
        <v/>
      </c>
      <c r="R14" s="44">
        <f>IF($A14="","",J14-H14)</f>
        <v/>
      </c>
      <c r="S14" s="44">
        <f>IF($A14="","",O14*H14)</f>
        <v/>
      </c>
      <c r="T14" s="44">
        <f>IF($A14="","",O14*J14)</f>
        <v/>
      </c>
      <c r="U14" s="45" t="n"/>
      <c r="V14" s="40" t="n"/>
      <c r="W14" s="40" t="n"/>
      <c r="X14" s="40" t="n"/>
      <c r="Y14" s="40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5" t="n"/>
      <c r="I15" s="35" t="n"/>
      <c r="J15" s="35" t="n"/>
      <c r="K15" s="35" t="n"/>
      <c r="L15" s="35" t="n"/>
      <c r="M15" s="36" t="n"/>
      <c r="N15" s="37">
        <f>IF($A15="","",IFERROR(SUMIFS('Sales Log'!$E$4:$E$503,'Sales Log'!$C$4:$C$503,$A15),0))</f>
        <v/>
      </c>
      <c r="O15" s="16">
        <f>IF($A15="","",M15-N15)</f>
        <v/>
      </c>
      <c r="P15" s="18">
        <f>IF(J15&gt;0,(J15-H15)/J15,"")</f>
        <v/>
      </c>
      <c r="Q15" s="18">
        <f>IF(K15&gt;0,(K15-H15)/K15,"")</f>
        <v/>
      </c>
      <c r="R15" s="38">
        <f>IF($A15="","",J15-H15)</f>
        <v/>
      </c>
      <c r="S15" s="38">
        <f>IF($A15="","",O15*H15)</f>
        <v/>
      </c>
      <c r="T15" s="38">
        <f>IF($A15="","",O15*J15)</f>
        <v/>
      </c>
      <c r="U15" s="39" t="n"/>
      <c r="V15" s="34" t="n"/>
      <c r="W15" s="34" t="n"/>
      <c r="X15" s="34" t="n"/>
      <c r="Y15" s="34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41" t="n"/>
      <c r="I16" s="41" t="n"/>
      <c r="J16" s="41" t="n"/>
      <c r="K16" s="41" t="n"/>
      <c r="L16" s="41" t="n"/>
      <c r="M16" s="42" t="n"/>
      <c r="N16" s="43">
        <f>IF($A16="","",IFERROR(SUMIFS('Sales Log'!$E$4:$E$503,'Sales Log'!$C$4:$C$503,$A16),0))</f>
        <v/>
      </c>
      <c r="O16" s="12">
        <f>IF($A16="","",M16-N16)</f>
        <v/>
      </c>
      <c r="P16" s="14">
        <f>IF(J16&gt;0,(J16-H16)/J16,"")</f>
        <v/>
      </c>
      <c r="Q16" s="14">
        <f>IF(K16&gt;0,(K16-H16)/K16,"")</f>
        <v/>
      </c>
      <c r="R16" s="44">
        <f>IF($A16="","",J16-H16)</f>
        <v/>
      </c>
      <c r="S16" s="44">
        <f>IF($A16="","",O16*H16)</f>
        <v/>
      </c>
      <c r="T16" s="44">
        <f>IF($A16="","",O16*J16)</f>
        <v/>
      </c>
      <c r="U16" s="45" t="n"/>
      <c r="V16" s="40" t="n"/>
      <c r="W16" s="40" t="n"/>
      <c r="X16" s="40" t="n"/>
      <c r="Y16" s="40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5" t="n"/>
      <c r="I17" s="35" t="n"/>
      <c r="J17" s="35" t="n"/>
      <c r="K17" s="35" t="n"/>
      <c r="L17" s="35" t="n"/>
      <c r="M17" s="36" t="n"/>
      <c r="N17" s="37">
        <f>IF($A17="","",IFERROR(SUMIFS('Sales Log'!$E$4:$E$503,'Sales Log'!$C$4:$C$503,$A17),0))</f>
        <v/>
      </c>
      <c r="O17" s="16">
        <f>IF($A17="","",M17-N17)</f>
        <v/>
      </c>
      <c r="P17" s="18">
        <f>IF(J17&gt;0,(J17-H17)/J17,"")</f>
        <v/>
      </c>
      <c r="Q17" s="18">
        <f>IF(K17&gt;0,(K17-H17)/K17,"")</f>
        <v/>
      </c>
      <c r="R17" s="38">
        <f>IF($A17="","",J17-H17)</f>
        <v/>
      </c>
      <c r="S17" s="38">
        <f>IF($A17="","",O17*H17)</f>
        <v/>
      </c>
      <c r="T17" s="38">
        <f>IF($A17="","",O17*J17)</f>
        <v/>
      </c>
      <c r="U17" s="39" t="n"/>
      <c r="V17" s="34" t="n"/>
      <c r="W17" s="34" t="n"/>
      <c r="X17" s="34" t="n"/>
      <c r="Y17" s="34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41" t="n"/>
      <c r="I18" s="41" t="n"/>
      <c r="J18" s="41" t="n"/>
      <c r="K18" s="41" t="n"/>
      <c r="L18" s="41" t="n"/>
      <c r="M18" s="42" t="n"/>
      <c r="N18" s="43">
        <f>IF($A18="","",IFERROR(SUMIFS('Sales Log'!$E$4:$E$503,'Sales Log'!$C$4:$C$503,$A18),0))</f>
        <v/>
      </c>
      <c r="O18" s="12">
        <f>IF($A18="","",M18-N18)</f>
        <v/>
      </c>
      <c r="P18" s="14">
        <f>IF(J18&gt;0,(J18-H18)/J18,"")</f>
        <v/>
      </c>
      <c r="Q18" s="14">
        <f>IF(K18&gt;0,(K18-H18)/K18,"")</f>
        <v/>
      </c>
      <c r="R18" s="44">
        <f>IF($A18="","",J18-H18)</f>
        <v/>
      </c>
      <c r="S18" s="44">
        <f>IF($A18="","",O18*H18)</f>
        <v/>
      </c>
      <c r="T18" s="44">
        <f>IF($A18="","",O18*J18)</f>
        <v/>
      </c>
      <c r="U18" s="45" t="n"/>
      <c r="V18" s="40" t="n"/>
      <c r="W18" s="40" t="n"/>
      <c r="X18" s="40" t="n"/>
      <c r="Y18" s="40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5" t="n"/>
      <c r="I19" s="35" t="n"/>
      <c r="J19" s="35" t="n"/>
      <c r="K19" s="35" t="n"/>
      <c r="L19" s="35" t="n"/>
      <c r="M19" s="36" t="n"/>
      <c r="N19" s="37">
        <f>IF($A19="","",IFERROR(SUMIFS('Sales Log'!$E$4:$E$503,'Sales Log'!$C$4:$C$503,$A19),0))</f>
        <v/>
      </c>
      <c r="O19" s="16">
        <f>IF($A19="","",M19-N19)</f>
        <v/>
      </c>
      <c r="P19" s="18">
        <f>IF(J19&gt;0,(J19-H19)/J19,"")</f>
        <v/>
      </c>
      <c r="Q19" s="18">
        <f>IF(K19&gt;0,(K19-H19)/K19,"")</f>
        <v/>
      </c>
      <c r="R19" s="38">
        <f>IF($A19="","",J19-H19)</f>
        <v/>
      </c>
      <c r="S19" s="38">
        <f>IF($A19="","",O19*H19)</f>
        <v/>
      </c>
      <c r="T19" s="38">
        <f>IF($A19="","",O19*J19)</f>
        <v/>
      </c>
      <c r="U19" s="39" t="n"/>
      <c r="V19" s="34" t="n"/>
      <c r="W19" s="34" t="n"/>
      <c r="X19" s="34" t="n"/>
      <c r="Y19" s="34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41" t="n"/>
      <c r="I20" s="41" t="n"/>
      <c r="J20" s="41" t="n"/>
      <c r="K20" s="41" t="n"/>
      <c r="L20" s="41" t="n"/>
      <c r="M20" s="42" t="n"/>
      <c r="N20" s="43">
        <f>IF($A20="","",IFERROR(SUMIFS('Sales Log'!$E$4:$E$503,'Sales Log'!$C$4:$C$503,$A20),0))</f>
        <v/>
      </c>
      <c r="O20" s="12">
        <f>IF($A20="","",M20-N20)</f>
        <v/>
      </c>
      <c r="P20" s="14">
        <f>IF(J20&gt;0,(J20-H20)/J20,"")</f>
        <v/>
      </c>
      <c r="Q20" s="14">
        <f>IF(K20&gt;0,(K20-H20)/K20,"")</f>
        <v/>
      </c>
      <c r="R20" s="44">
        <f>IF($A20="","",J20-H20)</f>
        <v/>
      </c>
      <c r="S20" s="44">
        <f>IF($A20="","",O20*H20)</f>
        <v/>
      </c>
      <c r="T20" s="44">
        <f>IF($A20="","",O20*J20)</f>
        <v/>
      </c>
      <c r="U20" s="45" t="n"/>
      <c r="V20" s="40" t="n"/>
      <c r="W20" s="40" t="n"/>
      <c r="X20" s="40" t="n"/>
      <c r="Y20" s="40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5" t="n"/>
      <c r="I21" s="35" t="n"/>
      <c r="J21" s="35" t="n"/>
      <c r="K21" s="35" t="n"/>
      <c r="L21" s="35" t="n"/>
      <c r="M21" s="36" t="n"/>
      <c r="N21" s="37">
        <f>IF($A21="","",IFERROR(SUMIFS('Sales Log'!$E$4:$E$503,'Sales Log'!$C$4:$C$503,$A21),0))</f>
        <v/>
      </c>
      <c r="O21" s="16">
        <f>IF($A21="","",M21-N21)</f>
        <v/>
      </c>
      <c r="P21" s="18">
        <f>IF(J21&gt;0,(J21-H21)/J21,"")</f>
        <v/>
      </c>
      <c r="Q21" s="18">
        <f>IF(K21&gt;0,(K21-H21)/K21,"")</f>
        <v/>
      </c>
      <c r="R21" s="38">
        <f>IF($A21="","",J21-H21)</f>
        <v/>
      </c>
      <c r="S21" s="38">
        <f>IF($A21="","",O21*H21)</f>
        <v/>
      </c>
      <c r="T21" s="38">
        <f>IF($A21="","",O21*J21)</f>
        <v/>
      </c>
      <c r="U21" s="39" t="n"/>
      <c r="V21" s="34" t="n"/>
      <c r="W21" s="34" t="n"/>
      <c r="X21" s="34" t="n"/>
      <c r="Y21" s="34" t="n"/>
    </row>
    <row r="22">
      <c r="A22" s="40" t="n"/>
      <c r="B22" s="40" t="n"/>
      <c r="C22" s="40" t="n"/>
      <c r="D22" s="40" t="n"/>
      <c r="E22" s="40" t="n"/>
      <c r="F22" s="40" t="n"/>
      <c r="G22" s="40" t="n"/>
      <c r="H22" s="41" t="n"/>
      <c r="I22" s="41" t="n"/>
      <c r="J22" s="41" t="n"/>
      <c r="K22" s="41" t="n"/>
      <c r="L22" s="41" t="n"/>
      <c r="M22" s="42" t="n"/>
      <c r="N22" s="43">
        <f>IF($A22="","",IFERROR(SUMIFS('Sales Log'!$E$4:$E$503,'Sales Log'!$C$4:$C$503,$A22),0))</f>
        <v/>
      </c>
      <c r="O22" s="12">
        <f>IF($A22="","",M22-N22)</f>
        <v/>
      </c>
      <c r="P22" s="14">
        <f>IF(J22&gt;0,(J22-H22)/J22,"")</f>
        <v/>
      </c>
      <c r="Q22" s="14">
        <f>IF(K22&gt;0,(K22-H22)/K22,"")</f>
        <v/>
      </c>
      <c r="R22" s="44">
        <f>IF($A22="","",J22-H22)</f>
        <v/>
      </c>
      <c r="S22" s="44">
        <f>IF($A22="","",O22*H22)</f>
        <v/>
      </c>
      <c r="T22" s="44">
        <f>IF($A22="","",O22*J22)</f>
        <v/>
      </c>
      <c r="U22" s="45" t="n"/>
      <c r="V22" s="40" t="n"/>
      <c r="W22" s="40" t="n"/>
      <c r="X22" s="40" t="n"/>
      <c r="Y22" s="40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5" t="n"/>
      <c r="I23" s="35" t="n"/>
      <c r="J23" s="35" t="n"/>
      <c r="K23" s="35" t="n"/>
      <c r="L23" s="35" t="n"/>
      <c r="M23" s="36" t="n"/>
      <c r="N23" s="37">
        <f>IF($A23="","",IFERROR(SUMIFS('Sales Log'!$E$4:$E$503,'Sales Log'!$C$4:$C$503,$A23),0))</f>
        <v/>
      </c>
      <c r="O23" s="16">
        <f>IF($A23="","",M23-N23)</f>
        <v/>
      </c>
      <c r="P23" s="18">
        <f>IF(J23&gt;0,(J23-H23)/J23,"")</f>
        <v/>
      </c>
      <c r="Q23" s="18">
        <f>IF(K23&gt;0,(K23-H23)/K23,"")</f>
        <v/>
      </c>
      <c r="R23" s="38">
        <f>IF($A23="","",J23-H23)</f>
        <v/>
      </c>
      <c r="S23" s="38">
        <f>IF($A23="","",O23*H23)</f>
        <v/>
      </c>
      <c r="T23" s="38">
        <f>IF($A23="","",O23*J23)</f>
        <v/>
      </c>
      <c r="U23" s="39" t="n"/>
      <c r="V23" s="34" t="n"/>
      <c r="W23" s="34" t="n"/>
      <c r="X23" s="34" t="n"/>
      <c r="Y23" s="34" t="n"/>
    </row>
    <row r="24">
      <c r="A24" s="40" t="n"/>
      <c r="B24" s="40" t="n"/>
      <c r="C24" s="40" t="n"/>
      <c r="D24" s="40" t="n"/>
      <c r="E24" s="40" t="n"/>
      <c r="F24" s="40" t="n"/>
      <c r="G24" s="40" t="n"/>
      <c r="H24" s="41" t="n"/>
      <c r="I24" s="41" t="n"/>
      <c r="J24" s="41" t="n"/>
      <c r="K24" s="41" t="n"/>
      <c r="L24" s="41" t="n"/>
      <c r="M24" s="42" t="n"/>
      <c r="N24" s="43">
        <f>IF($A24="","",IFERROR(SUMIFS('Sales Log'!$E$4:$E$503,'Sales Log'!$C$4:$C$503,$A24),0))</f>
        <v/>
      </c>
      <c r="O24" s="12">
        <f>IF($A24="","",M24-N24)</f>
        <v/>
      </c>
      <c r="P24" s="14">
        <f>IF(J24&gt;0,(J24-H24)/J24,"")</f>
        <v/>
      </c>
      <c r="Q24" s="14">
        <f>IF(K24&gt;0,(K24-H24)/K24,"")</f>
        <v/>
      </c>
      <c r="R24" s="44">
        <f>IF($A24="","",J24-H24)</f>
        <v/>
      </c>
      <c r="S24" s="44">
        <f>IF($A24="","",O24*H24)</f>
        <v/>
      </c>
      <c r="T24" s="44">
        <f>IF($A24="","",O24*J24)</f>
        <v/>
      </c>
      <c r="U24" s="45" t="n"/>
      <c r="V24" s="40" t="n"/>
      <c r="W24" s="40" t="n"/>
      <c r="X24" s="40" t="n"/>
      <c r="Y24" s="40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5" t="n"/>
      <c r="I25" s="35" t="n"/>
      <c r="J25" s="35" t="n"/>
      <c r="K25" s="35" t="n"/>
      <c r="L25" s="35" t="n"/>
      <c r="M25" s="36" t="n"/>
      <c r="N25" s="37">
        <f>IF($A25="","",IFERROR(SUMIFS('Sales Log'!$E$4:$E$503,'Sales Log'!$C$4:$C$503,$A25),0))</f>
        <v/>
      </c>
      <c r="O25" s="16">
        <f>IF($A25="","",M25-N25)</f>
        <v/>
      </c>
      <c r="P25" s="18">
        <f>IF(J25&gt;0,(J25-H25)/J25,"")</f>
        <v/>
      </c>
      <c r="Q25" s="18">
        <f>IF(K25&gt;0,(K25-H25)/K25,"")</f>
        <v/>
      </c>
      <c r="R25" s="38">
        <f>IF($A25="","",J25-H25)</f>
        <v/>
      </c>
      <c r="S25" s="38">
        <f>IF($A25="","",O25*H25)</f>
        <v/>
      </c>
      <c r="T25" s="38">
        <f>IF($A25="","",O25*J25)</f>
        <v/>
      </c>
      <c r="U25" s="39" t="n"/>
      <c r="V25" s="34" t="n"/>
      <c r="W25" s="34" t="n"/>
      <c r="X25" s="34" t="n"/>
      <c r="Y25" s="34" t="n"/>
    </row>
    <row r="26">
      <c r="A26" s="40" t="n"/>
      <c r="B26" s="40" t="n"/>
      <c r="C26" s="40" t="n"/>
      <c r="D26" s="40" t="n"/>
      <c r="E26" s="40" t="n"/>
      <c r="F26" s="40" t="n"/>
      <c r="G26" s="40" t="n"/>
      <c r="H26" s="41" t="n"/>
      <c r="I26" s="41" t="n"/>
      <c r="J26" s="41" t="n"/>
      <c r="K26" s="41" t="n"/>
      <c r="L26" s="41" t="n"/>
      <c r="M26" s="42" t="n"/>
      <c r="N26" s="43">
        <f>IF($A26="","",IFERROR(SUMIFS('Sales Log'!$E$4:$E$503,'Sales Log'!$C$4:$C$503,$A26),0))</f>
        <v/>
      </c>
      <c r="O26" s="12">
        <f>IF($A26="","",M26-N26)</f>
        <v/>
      </c>
      <c r="P26" s="14">
        <f>IF(J26&gt;0,(J26-H26)/J26,"")</f>
        <v/>
      </c>
      <c r="Q26" s="14">
        <f>IF(K26&gt;0,(K26-H26)/K26,"")</f>
        <v/>
      </c>
      <c r="R26" s="44">
        <f>IF($A26="","",J26-H26)</f>
        <v/>
      </c>
      <c r="S26" s="44">
        <f>IF($A26="","",O26*H26)</f>
        <v/>
      </c>
      <c r="T26" s="44">
        <f>IF($A26="","",O26*J26)</f>
        <v/>
      </c>
      <c r="U26" s="45" t="n"/>
      <c r="V26" s="40" t="n"/>
      <c r="W26" s="40" t="n"/>
      <c r="X26" s="40" t="n"/>
      <c r="Y26" s="40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5" t="n"/>
      <c r="I27" s="35" t="n"/>
      <c r="J27" s="35" t="n"/>
      <c r="K27" s="35" t="n"/>
      <c r="L27" s="35" t="n"/>
      <c r="M27" s="36" t="n"/>
      <c r="N27" s="37">
        <f>IF($A27="","",IFERROR(SUMIFS('Sales Log'!$E$4:$E$503,'Sales Log'!$C$4:$C$503,$A27),0))</f>
        <v/>
      </c>
      <c r="O27" s="16">
        <f>IF($A27="","",M27-N27)</f>
        <v/>
      </c>
      <c r="P27" s="18">
        <f>IF(J27&gt;0,(J27-H27)/J27,"")</f>
        <v/>
      </c>
      <c r="Q27" s="18">
        <f>IF(K27&gt;0,(K27-H27)/K27,"")</f>
        <v/>
      </c>
      <c r="R27" s="38">
        <f>IF($A27="","",J27-H27)</f>
        <v/>
      </c>
      <c r="S27" s="38">
        <f>IF($A27="","",O27*H27)</f>
        <v/>
      </c>
      <c r="T27" s="38">
        <f>IF($A27="","",O27*J27)</f>
        <v/>
      </c>
      <c r="U27" s="39" t="n"/>
      <c r="V27" s="34" t="n"/>
      <c r="W27" s="34" t="n"/>
      <c r="X27" s="34" t="n"/>
      <c r="Y27" s="34" t="n"/>
    </row>
    <row r="28">
      <c r="A28" s="40" t="n"/>
      <c r="B28" s="40" t="n"/>
      <c r="C28" s="40" t="n"/>
      <c r="D28" s="40" t="n"/>
      <c r="E28" s="40" t="n"/>
      <c r="F28" s="40" t="n"/>
      <c r="G28" s="40" t="n"/>
      <c r="H28" s="41" t="n"/>
      <c r="I28" s="41" t="n"/>
      <c r="J28" s="41" t="n"/>
      <c r="K28" s="41" t="n"/>
      <c r="L28" s="41" t="n"/>
      <c r="M28" s="42" t="n"/>
      <c r="N28" s="43">
        <f>IF($A28="","",IFERROR(SUMIFS('Sales Log'!$E$4:$E$503,'Sales Log'!$C$4:$C$503,$A28),0))</f>
        <v/>
      </c>
      <c r="O28" s="12">
        <f>IF($A28="","",M28-N28)</f>
        <v/>
      </c>
      <c r="P28" s="14">
        <f>IF(J28&gt;0,(J28-H28)/J28,"")</f>
        <v/>
      </c>
      <c r="Q28" s="14">
        <f>IF(K28&gt;0,(K28-H28)/K28,"")</f>
        <v/>
      </c>
      <c r="R28" s="44">
        <f>IF($A28="","",J28-H28)</f>
        <v/>
      </c>
      <c r="S28" s="44">
        <f>IF($A28="","",O28*H28)</f>
        <v/>
      </c>
      <c r="T28" s="44">
        <f>IF($A28="","",O28*J28)</f>
        <v/>
      </c>
      <c r="U28" s="45" t="n"/>
      <c r="V28" s="40" t="n"/>
      <c r="W28" s="40" t="n"/>
      <c r="X28" s="40" t="n"/>
      <c r="Y28" s="40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5" t="n"/>
      <c r="I29" s="35" t="n"/>
      <c r="J29" s="35" t="n"/>
      <c r="K29" s="35" t="n"/>
      <c r="L29" s="35" t="n"/>
      <c r="M29" s="36" t="n"/>
      <c r="N29" s="37">
        <f>IF($A29="","",IFERROR(SUMIFS('Sales Log'!$E$4:$E$503,'Sales Log'!$C$4:$C$503,$A29),0))</f>
        <v/>
      </c>
      <c r="O29" s="16">
        <f>IF($A29="","",M29-N29)</f>
        <v/>
      </c>
      <c r="P29" s="18">
        <f>IF(J29&gt;0,(J29-H29)/J29,"")</f>
        <v/>
      </c>
      <c r="Q29" s="18">
        <f>IF(K29&gt;0,(K29-H29)/K29,"")</f>
        <v/>
      </c>
      <c r="R29" s="38">
        <f>IF($A29="","",J29-H29)</f>
        <v/>
      </c>
      <c r="S29" s="38">
        <f>IF($A29="","",O29*H29)</f>
        <v/>
      </c>
      <c r="T29" s="38">
        <f>IF($A29="","",O29*J29)</f>
        <v/>
      </c>
      <c r="U29" s="39" t="n"/>
      <c r="V29" s="34" t="n"/>
      <c r="W29" s="34" t="n"/>
      <c r="X29" s="34" t="n"/>
      <c r="Y29" s="34" t="n"/>
    </row>
    <row r="30">
      <c r="A30" s="40" t="n"/>
      <c r="B30" s="40" t="n"/>
      <c r="C30" s="40" t="n"/>
      <c r="D30" s="40" t="n"/>
      <c r="E30" s="40" t="n"/>
      <c r="F30" s="40" t="n"/>
      <c r="G30" s="40" t="n"/>
      <c r="H30" s="41" t="n"/>
      <c r="I30" s="41" t="n"/>
      <c r="J30" s="41" t="n"/>
      <c r="K30" s="41" t="n"/>
      <c r="L30" s="41" t="n"/>
      <c r="M30" s="42" t="n"/>
      <c r="N30" s="43">
        <f>IF($A30="","",IFERROR(SUMIFS('Sales Log'!$E$4:$E$503,'Sales Log'!$C$4:$C$503,$A30),0))</f>
        <v/>
      </c>
      <c r="O30" s="12">
        <f>IF($A30="","",M30-N30)</f>
        <v/>
      </c>
      <c r="P30" s="14">
        <f>IF(J30&gt;0,(J30-H30)/J30,"")</f>
        <v/>
      </c>
      <c r="Q30" s="14">
        <f>IF(K30&gt;0,(K30-H30)/K30,"")</f>
        <v/>
      </c>
      <c r="R30" s="44">
        <f>IF($A30="","",J30-H30)</f>
        <v/>
      </c>
      <c r="S30" s="44">
        <f>IF($A30="","",O30*H30)</f>
        <v/>
      </c>
      <c r="T30" s="44">
        <f>IF($A30="","",O30*J30)</f>
        <v/>
      </c>
      <c r="U30" s="45" t="n"/>
      <c r="V30" s="40" t="n"/>
      <c r="W30" s="40" t="n"/>
      <c r="X30" s="40" t="n"/>
      <c r="Y30" s="40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5" t="n"/>
      <c r="I31" s="35" t="n"/>
      <c r="J31" s="35" t="n"/>
      <c r="K31" s="35" t="n"/>
      <c r="L31" s="35" t="n"/>
      <c r="M31" s="36" t="n"/>
      <c r="N31" s="37">
        <f>IF($A31="","",IFERROR(SUMIFS('Sales Log'!$E$4:$E$503,'Sales Log'!$C$4:$C$503,$A31),0))</f>
        <v/>
      </c>
      <c r="O31" s="16">
        <f>IF($A31="","",M31-N31)</f>
        <v/>
      </c>
      <c r="P31" s="18">
        <f>IF(J31&gt;0,(J31-H31)/J31,"")</f>
        <v/>
      </c>
      <c r="Q31" s="18">
        <f>IF(K31&gt;0,(K31-H31)/K31,"")</f>
        <v/>
      </c>
      <c r="R31" s="38">
        <f>IF($A31="","",J31-H31)</f>
        <v/>
      </c>
      <c r="S31" s="38">
        <f>IF($A31="","",O31*H31)</f>
        <v/>
      </c>
      <c r="T31" s="38">
        <f>IF($A31="","",O31*J31)</f>
        <v/>
      </c>
      <c r="U31" s="39" t="n"/>
      <c r="V31" s="34" t="n"/>
      <c r="W31" s="34" t="n"/>
      <c r="X31" s="34" t="n"/>
      <c r="Y31" s="34" t="n"/>
    </row>
    <row r="32">
      <c r="A32" s="40" t="n"/>
      <c r="B32" s="40" t="n"/>
      <c r="C32" s="40" t="n"/>
      <c r="D32" s="40" t="n"/>
      <c r="E32" s="40" t="n"/>
      <c r="F32" s="40" t="n"/>
      <c r="G32" s="40" t="n"/>
      <c r="H32" s="41" t="n"/>
      <c r="I32" s="41" t="n"/>
      <c r="J32" s="41" t="n"/>
      <c r="K32" s="41" t="n"/>
      <c r="L32" s="41" t="n"/>
      <c r="M32" s="42" t="n"/>
      <c r="N32" s="43">
        <f>IF($A32="","",IFERROR(SUMIFS('Sales Log'!$E$4:$E$503,'Sales Log'!$C$4:$C$503,$A32),0))</f>
        <v/>
      </c>
      <c r="O32" s="12">
        <f>IF($A32="","",M32-N32)</f>
        <v/>
      </c>
      <c r="P32" s="14">
        <f>IF(J32&gt;0,(J32-H32)/J32,"")</f>
        <v/>
      </c>
      <c r="Q32" s="14">
        <f>IF(K32&gt;0,(K32-H32)/K32,"")</f>
        <v/>
      </c>
      <c r="R32" s="44">
        <f>IF($A32="","",J32-H32)</f>
        <v/>
      </c>
      <c r="S32" s="44">
        <f>IF($A32="","",O32*H32)</f>
        <v/>
      </c>
      <c r="T32" s="44">
        <f>IF($A32="","",O32*J32)</f>
        <v/>
      </c>
      <c r="U32" s="45" t="n"/>
      <c r="V32" s="40" t="n"/>
      <c r="W32" s="40" t="n"/>
      <c r="X32" s="40" t="n"/>
      <c r="Y32" s="40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5" t="n"/>
      <c r="I33" s="35" t="n"/>
      <c r="J33" s="35" t="n"/>
      <c r="K33" s="35" t="n"/>
      <c r="L33" s="35" t="n"/>
      <c r="M33" s="36" t="n"/>
      <c r="N33" s="37">
        <f>IF($A33="","",IFERROR(SUMIFS('Sales Log'!$E$4:$E$503,'Sales Log'!$C$4:$C$503,$A33),0))</f>
        <v/>
      </c>
      <c r="O33" s="16">
        <f>IF($A33="","",M33-N33)</f>
        <v/>
      </c>
      <c r="P33" s="18">
        <f>IF(J33&gt;0,(J33-H33)/J33,"")</f>
        <v/>
      </c>
      <c r="Q33" s="18">
        <f>IF(K33&gt;0,(K33-H33)/K33,"")</f>
        <v/>
      </c>
      <c r="R33" s="38">
        <f>IF($A33="","",J33-H33)</f>
        <v/>
      </c>
      <c r="S33" s="38">
        <f>IF($A33="","",O33*H33)</f>
        <v/>
      </c>
      <c r="T33" s="38">
        <f>IF($A33="","",O33*J33)</f>
        <v/>
      </c>
      <c r="U33" s="39" t="n"/>
      <c r="V33" s="34" t="n"/>
      <c r="W33" s="34" t="n"/>
      <c r="X33" s="34" t="n"/>
      <c r="Y33" s="34" t="n"/>
    </row>
    <row r="34">
      <c r="A34" s="40" t="n"/>
      <c r="B34" s="40" t="n"/>
      <c r="C34" s="40" t="n"/>
      <c r="D34" s="40" t="n"/>
      <c r="E34" s="40" t="n"/>
      <c r="F34" s="40" t="n"/>
      <c r="G34" s="40" t="n"/>
      <c r="H34" s="41" t="n"/>
      <c r="I34" s="41" t="n"/>
      <c r="J34" s="41" t="n"/>
      <c r="K34" s="41" t="n"/>
      <c r="L34" s="41" t="n"/>
      <c r="M34" s="42" t="n"/>
      <c r="N34" s="43">
        <f>IF($A34="","",IFERROR(SUMIFS('Sales Log'!$E$4:$E$503,'Sales Log'!$C$4:$C$503,$A34),0))</f>
        <v/>
      </c>
      <c r="O34" s="12">
        <f>IF($A34="","",M34-N34)</f>
        <v/>
      </c>
      <c r="P34" s="14">
        <f>IF(J34&gt;0,(J34-H34)/J34,"")</f>
        <v/>
      </c>
      <c r="Q34" s="14">
        <f>IF(K34&gt;0,(K34-H34)/K34,"")</f>
        <v/>
      </c>
      <c r="R34" s="44">
        <f>IF($A34="","",J34-H34)</f>
        <v/>
      </c>
      <c r="S34" s="44">
        <f>IF($A34="","",O34*H34)</f>
        <v/>
      </c>
      <c r="T34" s="44">
        <f>IF($A34="","",O34*J34)</f>
        <v/>
      </c>
      <c r="U34" s="45" t="n"/>
      <c r="V34" s="40" t="n"/>
      <c r="W34" s="40" t="n"/>
      <c r="X34" s="40" t="n"/>
      <c r="Y34" s="40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5" t="n"/>
      <c r="I35" s="35" t="n"/>
      <c r="J35" s="35" t="n"/>
      <c r="K35" s="35" t="n"/>
      <c r="L35" s="35" t="n"/>
      <c r="M35" s="36" t="n"/>
      <c r="N35" s="37">
        <f>IF($A35="","",IFERROR(SUMIFS('Sales Log'!$E$4:$E$503,'Sales Log'!$C$4:$C$503,$A35),0))</f>
        <v/>
      </c>
      <c r="O35" s="16">
        <f>IF($A35="","",M35-N35)</f>
        <v/>
      </c>
      <c r="P35" s="18">
        <f>IF(J35&gt;0,(J35-H35)/J35,"")</f>
        <v/>
      </c>
      <c r="Q35" s="18">
        <f>IF(K35&gt;0,(K35-H35)/K35,"")</f>
        <v/>
      </c>
      <c r="R35" s="38">
        <f>IF($A35="","",J35-H35)</f>
        <v/>
      </c>
      <c r="S35" s="38">
        <f>IF($A35="","",O35*H35)</f>
        <v/>
      </c>
      <c r="T35" s="38">
        <f>IF($A35="","",O35*J35)</f>
        <v/>
      </c>
      <c r="U35" s="39" t="n"/>
      <c r="V35" s="34" t="n"/>
      <c r="W35" s="34" t="n"/>
      <c r="X35" s="34" t="n"/>
      <c r="Y35" s="34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1" t="n"/>
      <c r="I36" s="41" t="n"/>
      <c r="J36" s="41" t="n"/>
      <c r="K36" s="41" t="n"/>
      <c r="L36" s="41" t="n"/>
      <c r="M36" s="42" t="n"/>
      <c r="N36" s="43">
        <f>IF($A36="","",IFERROR(SUMIFS('Sales Log'!$E$4:$E$503,'Sales Log'!$C$4:$C$503,$A36),0))</f>
        <v/>
      </c>
      <c r="O36" s="12">
        <f>IF($A36="","",M36-N36)</f>
        <v/>
      </c>
      <c r="P36" s="14">
        <f>IF(J36&gt;0,(J36-H36)/J36,"")</f>
        <v/>
      </c>
      <c r="Q36" s="14">
        <f>IF(K36&gt;0,(K36-H36)/K36,"")</f>
        <v/>
      </c>
      <c r="R36" s="44">
        <f>IF($A36="","",J36-H36)</f>
        <v/>
      </c>
      <c r="S36" s="44">
        <f>IF($A36="","",O36*H36)</f>
        <v/>
      </c>
      <c r="T36" s="44">
        <f>IF($A36="","",O36*J36)</f>
        <v/>
      </c>
      <c r="U36" s="45" t="n"/>
      <c r="V36" s="40" t="n"/>
      <c r="W36" s="40" t="n"/>
      <c r="X36" s="40" t="n"/>
      <c r="Y36" s="40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5" t="n"/>
      <c r="I37" s="35" t="n"/>
      <c r="J37" s="35" t="n"/>
      <c r="K37" s="35" t="n"/>
      <c r="L37" s="35" t="n"/>
      <c r="M37" s="36" t="n"/>
      <c r="N37" s="37">
        <f>IF($A37="","",IFERROR(SUMIFS('Sales Log'!$E$4:$E$503,'Sales Log'!$C$4:$C$503,$A37),0))</f>
        <v/>
      </c>
      <c r="O37" s="16">
        <f>IF($A37="","",M37-N37)</f>
        <v/>
      </c>
      <c r="P37" s="18">
        <f>IF(J37&gt;0,(J37-H37)/J37,"")</f>
        <v/>
      </c>
      <c r="Q37" s="18">
        <f>IF(K37&gt;0,(K37-H37)/K37,"")</f>
        <v/>
      </c>
      <c r="R37" s="38">
        <f>IF($A37="","",J37-H37)</f>
        <v/>
      </c>
      <c r="S37" s="38">
        <f>IF($A37="","",O37*H37)</f>
        <v/>
      </c>
      <c r="T37" s="38">
        <f>IF($A37="","",O37*J37)</f>
        <v/>
      </c>
      <c r="U37" s="39" t="n"/>
      <c r="V37" s="34" t="n"/>
      <c r="W37" s="34" t="n"/>
      <c r="X37" s="34" t="n"/>
      <c r="Y37" s="34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1" t="n"/>
      <c r="I38" s="41" t="n"/>
      <c r="J38" s="41" t="n"/>
      <c r="K38" s="41" t="n"/>
      <c r="L38" s="41" t="n"/>
      <c r="M38" s="42" t="n"/>
      <c r="N38" s="43">
        <f>IF($A38="","",IFERROR(SUMIFS('Sales Log'!$E$4:$E$503,'Sales Log'!$C$4:$C$503,$A38),0))</f>
        <v/>
      </c>
      <c r="O38" s="12">
        <f>IF($A38="","",M38-N38)</f>
        <v/>
      </c>
      <c r="P38" s="14">
        <f>IF(J38&gt;0,(J38-H38)/J38,"")</f>
        <v/>
      </c>
      <c r="Q38" s="14">
        <f>IF(K38&gt;0,(K38-H38)/K38,"")</f>
        <v/>
      </c>
      <c r="R38" s="44">
        <f>IF($A38="","",J38-H38)</f>
        <v/>
      </c>
      <c r="S38" s="44">
        <f>IF($A38="","",O38*H38)</f>
        <v/>
      </c>
      <c r="T38" s="44">
        <f>IF($A38="","",O38*J38)</f>
        <v/>
      </c>
      <c r="U38" s="45" t="n"/>
      <c r="V38" s="40" t="n"/>
      <c r="W38" s="40" t="n"/>
      <c r="X38" s="40" t="n"/>
      <c r="Y38" s="40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5" t="n"/>
      <c r="I39" s="35" t="n"/>
      <c r="J39" s="35" t="n"/>
      <c r="K39" s="35" t="n"/>
      <c r="L39" s="35" t="n"/>
      <c r="M39" s="36" t="n"/>
      <c r="N39" s="37">
        <f>IF($A39="","",IFERROR(SUMIFS('Sales Log'!$E$4:$E$503,'Sales Log'!$C$4:$C$503,$A39),0))</f>
        <v/>
      </c>
      <c r="O39" s="16">
        <f>IF($A39="","",M39-N39)</f>
        <v/>
      </c>
      <c r="P39" s="18">
        <f>IF(J39&gt;0,(J39-H39)/J39,"")</f>
        <v/>
      </c>
      <c r="Q39" s="18">
        <f>IF(K39&gt;0,(K39-H39)/K39,"")</f>
        <v/>
      </c>
      <c r="R39" s="38">
        <f>IF($A39="","",J39-H39)</f>
        <v/>
      </c>
      <c r="S39" s="38">
        <f>IF($A39="","",O39*H39)</f>
        <v/>
      </c>
      <c r="T39" s="38">
        <f>IF($A39="","",O39*J39)</f>
        <v/>
      </c>
      <c r="U39" s="39" t="n"/>
      <c r="V39" s="34" t="n"/>
      <c r="W39" s="34" t="n"/>
      <c r="X39" s="34" t="n"/>
      <c r="Y39" s="34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1" t="n"/>
      <c r="I40" s="41" t="n"/>
      <c r="J40" s="41" t="n"/>
      <c r="K40" s="41" t="n"/>
      <c r="L40" s="41" t="n"/>
      <c r="M40" s="42" t="n"/>
      <c r="N40" s="43">
        <f>IF($A40="","",IFERROR(SUMIFS('Sales Log'!$E$4:$E$503,'Sales Log'!$C$4:$C$503,$A40),0))</f>
        <v/>
      </c>
      <c r="O40" s="12">
        <f>IF($A40="","",M40-N40)</f>
        <v/>
      </c>
      <c r="P40" s="14">
        <f>IF(J40&gt;0,(J40-H40)/J40,"")</f>
        <v/>
      </c>
      <c r="Q40" s="14">
        <f>IF(K40&gt;0,(K40-H40)/K40,"")</f>
        <v/>
      </c>
      <c r="R40" s="44">
        <f>IF($A40="","",J40-H40)</f>
        <v/>
      </c>
      <c r="S40" s="44">
        <f>IF($A40="","",O40*H40)</f>
        <v/>
      </c>
      <c r="T40" s="44">
        <f>IF($A40="","",O40*J40)</f>
        <v/>
      </c>
      <c r="U40" s="45" t="n"/>
      <c r="V40" s="40" t="n"/>
      <c r="W40" s="40" t="n"/>
      <c r="X40" s="40" t="n"/>
      <c r="Y40" s="40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5" t="n"/>
      <c r="I41" s="35" t="n"/>
      <c r="J41" s="35" t="n"/>
      <c r="K41" s="35" t="n"/>
      <c r="L41" s="35" t="n"/>
      <c r="M41" s="36" t="n"/>
      <c r="N41" s="37">
        <f>IF($A41="","",IFERROR(SUMIFS('Sales Log'!$E$4:$E$503,'Sales Log'!$C$4:$C$503,$A41),0))</f>
        <v/>
      </c>
      <c r="O41" s="16">
        <f>IF($A41="","",M41-N41)</f>
        <v/>
      </c>
      <c r="P41" s="18">
        <f>IF(J41&gt;0,(J41-H41)/J41,"")</f>
        <v/>
      </c>
      <c r="Q41" s="18">
        <f>IF(K41&gt;0,(K41-H41)/K41,"")</f>
        <v/>
      </c>
      <c r="R41" s="38">
        <f>IF($A41="","",J41-H41)</f>
        <v/>
      </c>
      <c r="S41" s="38">
        <f>IF($A41="","",O41*H41)</f>
        <v/>
      </c>
      <c r="T41" s="38">
        <f>IF($A41="","",O41*J41)</f>
        <v/>
      </c>
      <c r="U41" s="39" t="n"/>
      <c r="V41" s="34" t="n"/>
      <c r="W41" s="34" t="n"/>
      <c r="X41" s="34" t="n"/>
      <c r="Y41" s="34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1" t="n"/>
      <c r="I42" s="41" t="n"/>
      <c r="J42" s="41" t="n"/>
      <c r="K42" s="41" t="n"/>
      <c r="L42" s="41" t="n"/>
      <c r="M42" s="42" t="n"/>
      <c r="N42" s="43">
        <f>IF($A42="","",IFERROR(SUMIFS('Sales Log'!$E$4:$E$503,'Sales Log'!$C$4:$C$503,$A42),0))</f>
        <v/>
      </c>
      <c r="O42" s="12">
        <f>IF($A42="","",M42-N42)</f>
        <v/>
      </c>
      <c r="P42" s="14">
        <f>IF(J42&gt;0,(J42-H42)/J42,"")</f>
        <v/>
      </c>
      <c r="Q42" s="14">
        <f>IF(K42&gt;0,(K42-H42)/K42,"")</f>
        <v/>
      </c>
      <c r="R42" s="44">
        <f>IF($A42="","",J42-H42)</f>
        <v/>
      </c>
      <c r="S42" s="44">
        <f>IF($A42="","",O42*H42)</f>
        <v/>
      </c>
      <c r="T42" s="44">
        <f>IF($A42="","",O42*J42)</f>
        <v/>
      </c>
      <c r="U42" s="45" t="n"/>
      <c r="V42" s="40" t="n"/>
      <c r="W42" s="40" t="n"/>
      <c r="X42" s="40" t="n"/>
      <c r="Y42" s="40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5" t="n"/>
      <c r="I43" s="35" t="n"/>
      <c r="J43" s="35" t="n"/>
      <c r="K43" s="35" t="n"/>
      <c r="L43" s="35" t="n"/>
      <c r="M43" s="36" t="n"/>
      <c r="N43" s="37">
        <f>IF($A43="","",IFERROR(SUMIFS('Sales Log'!$E$4:$E$503,'Sales Log'!$C$4:$C$503,$A43),0))</f>
        <v/>
      </c>
      <c r="O43" s="16">
        <f>IF($A43="","",M43-N43)</f>
        <v/>
      </c>
      <c r="P43" s="18">
        <f>IF(J43&gt;0,(J43-H43)/J43,"")</f>
        <v/>
      </c>
      <c r="Q43" s="18">
        <f>IF(K43&gt;0,(K43-H43)/K43,"")</f>
        <v/>
      </c>
      <c r="R43" s="38">
        <f>IF($A43="","",J43-H43)</f>
        <v/>
      </c>
      <c r="S43" s="38">
        <f>IF($A43="","",O43*H43)</f>
        <v/>
      </c>
      <c r="T43" s="38">
        <f>IF($A43="","",O43*J43)</f>
        <v/>
      </c>
      <c r="U43" s="39" t="n"/>
      <c r="V43" s="34" t="n"/>
      <c r="W43" s="34" t="n"/>
      <c r="X43" s="34" t="n"/>
      <c r="Y43" s="34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1" t="n"/>
      <c r="I44" s="41" t="n"/>
      <c r="J44" s="41" t="n"/>
      <c r="K44" s="41" t="n"/>
      <c r="L44" s="41" t="n"/>
      <c r="M44" s="42" t="n"/>
      <c r="N44" s="43">
        <f>IF($A44="","",IFERROR(SUMIFS('Sales Log'!$E$4:$E$503,'Sales Log'!$C$4:$C$503,$A44),0))</f>
        <v/>
      </c>
      <c r="O44" s="12">
        <f>IF($A44="","",M44-N44)</f>
        <v/>
      </c>
      <c r="P44" s="14">
        <f>IF(J44&gt;0,(J44-H44)/J44,"")</f>
        <v/>
      </c>
      <c r="Q44" s="14">
        <f>IF(K44&gt;0,(K44-H44)/K44,"")</f>
        <v/>
      </c>
      <c r="R44" s="44">
        <f>IF($A44="","",J44-H44)</f>
        <v/>
      </c>
      <c r="S44" s="44">
        <f>IF($A44="","",O44*H44)</f>
        <v/>
      </c>
      <c r="T44" s="44">
        <f>IF($A44="","",O44*J44)</f>
        <v/>
      </c>
      <c r="U44" s="45" t="n"/>
      <c r="V44" s="40" t="n"/>
      <c r="W44" s="40" t="n"/>
      <c r="X44" s="40" t="n"/>
      <c r="Y44" s="40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5" t="n"/>
      <c r="I45" s="35" t="n"/>
      <c r="J45" s="35" t="n"/>
      <c r="K45" s="35" t="n"/>
      <c r="L45" s="35" t="n"/>
      <c r="M45" s="36" t="n"/>
      <c r="N45" s="37">
        <f>IF($A45="","",IFERROR(SUMIFS('Sales Log'!$E$4:$E$503,'Sales Log'!$C$4:$C$503,$A45),0))</f>
        <v/>
      </c>
      <c r="O45" s="16">
        <f>IF($A45="","",M45-N45)</f>
        <v/>
      </c>
      <c r="P45" s="18">
        <f>IF(J45&gt;0,(J45-H45)/J45,"")</f>
        <v/>
      </c>
      <c r="Q45" s="18">
        <f>IF(K45&gt;0,(K45-H45)/K45,"")</f>
        <v/>
      </c>
      <c r="R45" s="38">
        <f>IF($A45="","",J45-H45)</f>
        <v/>
      </c>
      <c r="S45" s="38">
        <f>IF($A45="","",O45*H45)</f>
        <v/>
      </c>
      <c r="T45" s="38">
        <f>IF($A45="","",O45*J45)</f>
        <v/>
      </c>
      <c r="U45" s="39" t="n"/>
      <c r="V45" s="34" t="n"/>
      <c r="W45" s="34" t="n"/>
      <c r="X45" s="34" t="n"/>
      <c r="Y45" s="34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1" t="n"/>
      <c r="I46" s="41" t="n"/>
      <c r="J46" s="41" t="n"/>
      <c r="K46" s="41" t="n"/>
      <c r="L46" s="41" t="n"/>
      <c r="M46" s="42" t="n"/>
      <c r="N46" s="43">
        <f>IF($A46="","",IFERROR(SUMIFS('Sales Log'!$E$4:$E$503,'Sales Log'!$C$4:$C$503,$A46),0))</f>
        <v/>
      </c>
      <c r="O46" s="12">
        <f>IF($A46="","",M46-N46)</f>
        <v/>
      </c>
      <c r="P46" s="14">
        <f>IF(J46&gt;0,(J46-H46)/J46,"")</f>
        <v/>
      </c>
      <c r="Q46" s="14">
        <f>IF(K46&gt;0,(K46-H46)/K46,"")</f>
        <v/>
      </c>
      <c r="R46" s="44">
        <f>IF($A46="","",J46-H46)</f>
        <v/>
      </c>
      <c r="S46" s="44">
        <f>IF($A46="","",O46*H46)</f>
        <v/>
      </c>
      <c r="T46" s="44">
        <f>IF($A46="","",O46*J46)</f>
        <v/>
      </c>
      <c r="U46" s="45" t="n"/>
      <c r="V46" s="40" t="n"/>
      <c r="W46" s="40" t="n"/>
      <c r="X46" s="40" t="n"/>
      <c r="Y46" s="40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5" t="n"/>
      <c r="I47" s="35" t="n"/>
      <c r="J47" s="35" t="n"/>
      <c r="K47" s="35" t="n"/>
      <c r="L47" s="35" t="n"/>
      <c r="M47" s="36" t="n"/>
      <c r="N47" s="37">
        <f>IF($A47="","",IFERROR(SUMIFS('Sales Log'!$E$4:$E$503,'Sales Log'!$C$4:$C$503,$A47),0))</f>
        <v/>
      </c>
      <c r="O47" s="16">
        <f>IF($A47="","",M47-N47)</f>
        <v/>
      </c>
      <c r="P47" s="18">
        <f>IF(J47&gt;0,(J47-H47)/J47,"")</f>
        <v/>
      </c>
      <c r="Q47" s="18">
        <f>IF(K47&gt;0,(K47-H47)/K47,"")</f>
        <v/>
      </c>
      <c r="R47" s="38">
        <f>IF($A47="","",J47-H47)</f>
        <v/>
      </c>
      <c r="S47" s="38">
        <f>IF($A47="","",O47*H47)</f>
        <v/>
      </c>
      <c r="T47" s="38">
        <f>IF($A47="","",O47*J47)</f>
        <v/>
      </c>
      <c r="U47" s="39" t="n"/>
      <c r="V47" s="34" t="n"/>
      <c r="W47" s="34" t="n"/>
      <c r="X47" s="34" t="n"/>
      <c r="Y47" s="34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1" t="n"/>
      <c r="I48" s="41" t="n"/>
      <c r="J48" s="41" t="n"/>
      <c r="K48" s="41" t="n"/>
      <c r="L48" s="41" t="n"/>
      <c r="M48" s="42" t="n"/>
      <c r="N48" s="43">
        <f>IF($A48="","",IFERROR(SUMIFS('Sales Log'!$E$4:$E$503,'Sales Log'!$C$4:$C$503,$A48),0))</f>
        <v/>
      </c>
      <c r="O48" s="12">
        <f>IF($A48="","",M48-N48)</f>
        <v/>
      </c>
      <c r="P48" s="14">
        <f>IF(J48&gt;0,(J48-H48)/J48,"")</f>
        <v/>
      </c>
      <c r="Q48" s="14">
        <f>IF(K48&gt;0,(K48-H48)/K48,"")</f>
        <v/>
      </c>
      <c r="R48" s="44">
        <f>IF($A48="","",J48-H48)</f>
        <v/>
      </c>
      <c r="S48" s="44">
        <f>IF($A48="","",O48*H48)</f>
        <v/>
      </c>
      <c r="T48" s="44">
        <f>IF($A48="","",O48*J48)</f>
        <v/>
      </c>
      <c r="U48" s="45" t="n"/>
      <c r="V48" s="40" t="n"/>
      <c r="W48" s="40" t="n"/>
      <c r="X48" s="40" t="n"/>
      <c r="Y48" s="40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5" t="n"/>
      <c r="I49" s="35" t="n"/>
      <c r="J49" s="35" t="n"/>
      <c r="K49" s="35" t="n"/>
      <c r="L49" s="35" t="n"/>
      <c r="M49" s="36" t="n"/>
      <c r="N49" s="37">
        <f>IF($A49="","",IFERROR(SUMIFS('Sales Log'!$E$4:$E$503,'Sales Log'!$C$4:$C$503,$A49),0))</f>
        <v/>
      </c>
      <c r="O49" s="16">
        <f>IF($A49="","",M49-N49)</f>
        <v/>
      </c>
      <c r="P49" s="18">
        <f>IF(J49&gt;0,(J49-H49)/J49,"")</f>
        <v/>
      </c>
      <c r="Q49" s="18">
        <f>IF(K49&gt;0,(K49-H49)/K49,"")</f>
        <v/>
      </c>
      <c r="R49" s="38">
        <f>IF($A49="","",J49-H49)</f>
        <v/>
      </c>
      <c r="S49" s="38">
        <f>IF($A49="","",O49*H49)</f>
        <v/>
      </c>
      <c r="T49" s="38">
        <f>IF($A49="","",O49*J49)</f>
        <v/>
      </c>
      <c r="U49" s="39" t="n"/>
      <c r="V49" s="34" t="n"/>
      <c r="W49" s="34" t="n"/>
      <c r="X49" s="34" t="n"/>
      <c r="Y49" s="34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1" t="n"/>
      <c r="I50" s="41" t="n"/>
      <c r="J50" s="41" t="n"/>
      <c r="K50" s="41" t="n"/>
      <c r="L50" s="41" t="n"/>
      <c r="M50" s="42" t="n"/>
      <c r="N50" s="43">
        <f>IF($A50="","",IFERROR(SUMIFS('Sales Log'!$E$4:$E$503,'Sales Log'!$C$4:$C$503,$A50),0))</f>
        <v/>
      </c>
      <c r="O50" s="12">
        <f>IF($A50="","",M50-N50)</f>
        <v/>
      </c>
      <c r="P50" s="14">
        <f>IF(J50&gt;0,(J50-H50)/J50,"")</f>
        <v/>
      </c>
      <c r="Q50" s="14">
        <f>IF(K50&gt;0,(K50-H50)/K50,"")</f>
        <v/>
      </c>
      <c r="R50" s="44">
        <f>IF($A50="","",J50-H50)</f>
        <v/>
      </c>
      <c r="S50" s="44">
        <f>IF($A50="","",O50*H50)</f>
        <v/>
      </c>
      <c r="T50" s="44">
        <f>IF($A50="","",O50*J50)</f>
        <v/>
      </c>
      <c r="U50" s="45" t="n"/>
      <c r="V50" s="40" t="n"/>
      <c r="W50" s="40" t="n"/>
      <c r="X50" s="40" t="n"/>
      <c r="Y50" s="40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5" t="n"/>
      <c r="I51" s="35" t="n"/>
      <c r="J51" s="35" t="n"/>
      <c r="K51" s="35" t="n"/>
      <c r="L51" s="35" t="n"/>
      <c r="M51" s="36" t="n"/>
      <c r="N51" s="37">
        <f>IF($A51="","",IFERROR(SUMIFS('Sales Log'!$E$4:$E$503,'Sales Log'!$C$4:$C$503,$A51),0))</f>
        <v/>
      </c>
      <c r="O51" s="16">
        <f>IF($A51="","",M51-N51)</f>
        <v/>
      </c>
      <c r="P51" s="18">
        <f>IF(J51&gt;0,(J51-H51)/J51,"")</f>
        <v/>
      </c>
      <c r="Q51" s="18">
        <f>IF(K51&gt;0,(K51-H51)/K51,"")</f>
        <v/>
      </c>
      <c r="R51" s="38">
        <f>IF($A51="","",J51-H51)</f>
        <v/>
      </c>
      <c r="S51" s="38">
        <f>IF($A51="","",O51*H51)</f>
        <v/>
      </c>
      <c r="T51" s="38">
        <f>IF($A51="","",O51*J51)</f>
        <v/>
      </c>
      <c r="U51" s="39" t="n"/>
      <c r="V51" s="34" t="n"/>
      <c r="W51" s="34" t="n"/>
      <c r="X51" s="34" t="n"/>
      <c r="Y51" s="34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1" t="n"/>
      <c r="I52" s="41" t="n"/>
      <c r="J52" s="41" t="n"/>
      <c r="K52" s="41" t="n"/>
      <c r="L52" s="41" t="n"/>
      <c r="M52" s="42" t="n"/>
      <c r="N52" s="43">
        <f>IF($A52="","",IFERROR(SUMIFS('Sales Log'!$E$4:$E$503,'Sales Log'!$C$4:$C$503,$A52),0))</f>
        <v/>
      </c>
      <c r="O52" s="12">
        <f>IF($A52="","",M52-N52)</f>
        <v/>
      </c>
      <c r="P52" s="14">
        <f>IF(J52&gt;0,(J52-H52)/J52,"")</f>
        <v/>
      </c>
      <c r="Q52" s="14">
        <f>IF(K52&gt;0,(K52-H52)/K52,"")</f>
        <v/>
      </c>
      <c r="R52" s="44">
        <f>IF($A52="","",J52-H52)</f>
        <v/>
      </c>
      <c r="S52" s="44">
        <f>IF($A52="","",O52*H52)</f>
        <v/>
      </c>
      <c r="T52" s="44">
        <f>IF($A52="","",O52*J52)</f>
        <v/>
      </c>
      <c r="U52" s="45" t="n"/>
      <c r="V52" s="40" t="n"/>
      <c r="W52" s="40" t="n"/>
      <c r="X52" s="40" t="n"/>
      <c r="Y52" s="40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5" t="n"/>
      <c r="I53" s="35" t="n"/>
      <c r="J53" s="35" t="n"/>
      <c r="K53" s="35" t="n"/>
      <c r="L53" s="35" t="n"/>
      <c r="M53" s="36" t="n"/>
      <c r="N53" s="37">
        <f>IF($A53="","",IFERROR(SUMIFS('Sales Log'!$E$4:$E$503,'Sales Log'!$C$4:$C$503,$A53),0))</f>
        <v/>
      </c>
      <c r="O53" s="16">
        <f>IF($A53="","",M53-N53)</f>
        <v/>
      </c>
      <c r="P53" s="18">
        <f>IF(J53&gt;0,(J53-H53)/J53,"")</f>
        <v/>
      </c>
      <c r="Q53" s="18">
        <f>IF(K53&gt;0,(K53-H53)/K53,"")</f>
        <v/>
      </c>
      <c r="R53" s="38">
        <f>IF($A53="","",J53-H53)</f>
        <v/>
      </c>
      <c r="S53" s="38">
        <f>IF($A53="","",O53*H53)</f>
        <v/>
      </c>
      <c r="T53" s="38">
        <f>IF($A53="","",O53*J53)</f>
        <v/>
      </c>
      <c r="U53" s="39" t="n"/>
      <c r="V53" s="34" t="n"/>
      <c r="W53" s="34" t="n"/>
      <c r="X53" s="34" t="n"/>
      <c r="Y53" s="34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1" t="n"/>
      <c r="I54" s="41" t="n"/>
      <c r="J54" s="41" t="n"/>
      <c r="K54" s="41" t="n"/>
      <c r="L54" s="41" t="n"/>
      <c r="M54" s="42" t="n"/>
      <c r="N54" s="43">
        <f>IF($A54="","",IFERROR(SUMIFS('Sales Log'!$E$4:$E$503,'Sales Log'!$C$4:$C$503,$A54),0))</f>
        <v/>
      </c>
      <c r="O54" s="12">
        <f>IF($A54="","",M54-N54)</f>
        <v/>
      </c>
      <c r="P54" s="14">
        <f>IF(J54&gt;0,(J54-H54)/J54,"")</f>
        <v/>
      </c>
      <c r="Q54" s="14">
        <f>IF(K54&gt;0,(K54-H54)/K54,"")</f>
        <v/>
      </c>
      <c r="R54" s="44">
        <f>IF($A54="","",J54-H54)</f>
        <v/>
      </c>
      <c r="S54" s="44">
        <f>IF($A54="","",O54*H54)</f>
        <v/>
      </c>
      <c r="T54" s="44">
        <f>IF($A54="","",O54*J54)</f>
        <v/>
      </c>
      <c r="U54" s="45" t="n"/>
      <c r="V54" s="40" t="n"/>
      <c r="W54" s="40" t="n"/>
      <c r="X54" s="40" t="n"/>
      <c r="Y54" s="40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5" t="n"/>
      <c r="I55" s="35" t="n"/>
      <c r="J55" s="35" t="n"/>
      <c r="K55" s="35" t="n"/>
      <c r="L55" s="35" t="n"/>
      <c r="M55" s="36" t="n"/>
      <c r="N55" s="37">
        <f>IF($A55="","",IFERROR(SUMIFS('Sales Log'!$E$4:$E$503,'Sales Log'!$C$4:$C$503,$A55),0))</f>
        <v/>
      </c>
      <c r="O55" s="16">
        <f>IF($A55="","",M55-N55)</f>
        <v/>
      </c>
      <c r="P55" s="18">
        <f>IF(J55&gt;0,(J55-H55)/J55,"")</f>
        <v/>
      </c>
      <c r="Q55" s="18">
        <f>IF(K55&gt;0,(K55-H55)/K55,"")</f>
        <v/>
      </c>
      <c r="R55" s="38">
        <f>IF($A55="","",J55-H55)</f>
        <v/>
      </c>
      <c r="S55" s="38">
        <f>IF($A55="","",O55*H55)</f>
        <v/>
      </c>
      <c r="T55" s="38">
        <f>IF($A55="","",O55*J55)</f>
        <v/>
      </c>
      <c r="U55" s="39" t="n"/>
      <c r="V55" s="34" t="n"/>
      <c r="W55" s="34" t="n"/>
      <c r="X55" s="34" t="n"/>
      <c r="Y55" s="34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1" t="n"/>
      <c r="I56" s="41" t="n"/>
      <c r="J56" s="41" t="n"/>
      <c r="K56" s="41" t="n"/>
      <c r="L56" s="41" t="n"/>
      <c r="M56" s="42" t="n"/>
      <c r="N56" s="43">
        <f>IF($A56="","",IFERROR(SUMIFS('Sales Log'!$E$4:$E$503,'Sales Log'!$C$4:$C$503,$A56),0))</f>
        <v/>
      </c>
      <c r="O56" s="12">
        <f>IF($A56="","",M56-N56)</f>
        <v/>
      </c>
      <c r="P56" s="14">
        <f>IF(J56&gt;0,(J56-H56)/J56,"")</f>
        <v/>
      </c>
      <c r="Q56" s="14">
        <f>IF(K56&gt;0,(K56-H56)/K56,"")</f>
        <v/>
      </c>
      <c r="R56" s="44">
        <f>IF($A56="","",J56-H56)</f>
        <v/>
      </c>
      <c r="S56" s="44">
        <f>IF($A56="","",O56*H56)</f>
        <v/>
      </c>
      <c r="T56" s="44">
        <f>IF($A56="","",O56*J56)</f>
        <v/>
      </c>
      <c r="U56" s="45" t="n"/>
      <c r="V56" s="40" t="n"/>
      <c r="W56" s="40" t="n"/>
      <c r="X56" s="40" t="n"/>
      <c r="Y56" s="40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5" t="n"/>
      <c r="I57" s="35" t="n"/>
      <c r="J57" s="35" t="n"/>
      <c r="K57" s="35" t="n"/>
      <c r="L57" s="35" t="n"/>
      <c r="M57" s="36" t="n"/>
      <c r="N57" s="37">
        <f>IF($A57="","",IFERROR(SUMIFS('Sales Log'!$E$4:$E$503,'Sales Log'!$C$4:$C$503,$A57),0))</f>
        <v/>
      </c>
      <c r="O57" s="16">
        <f>IF($A57="","",M57-N57)</f>
        <v/>
      </c>
      <c r="P57" s="18">
        <f>IF(J57&gt;0,(J57-H57)/J57,"")</f>
        <v/>
      </c>
      <c r="Q57" s="18">
        <f>IF(K57&gt;0,(K57-H57)/K57,"")</f>
        <v/>
      </c>
      <c r="R57" s="38">
        <f>IF($A57="","",J57-H57)</f>
        <v/>
      </c>
      <c r="S57" s="38">
        <f>IF($A57="","",O57*H57)</f>
        <v/>
      </c>
      <c r="T57" s="38">
        <f>IF($A57="","",O57*J57)</f>
        <v/>
      </c>
      <c r="U57" s="39" t="n"/>
      <c r="V57" s="34" t="n"/>
      <c r="W57" s="34" t="n"/>
      <c r="X57" s="34" t="n"/>
      <c r="Y57" s="34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1" t="n"/>
      <c r="I58" s="41" t="n"/>
      <c r="J58" s="41" t="n"/>
      <c r="K58" s="41" t="n"/>
      <c r="L58" s="41" t="n"/>
      <c r="M58" s="42" t="n"/>
      <c r="N58" s="43">
        <f>IF($A58="","",IFERROR(SUMIFS('Sales Log'!$E$4:$E$503,'Sales Log'!$C$4:$C$503,$A58),0))</f>
        <v/>
      </c>
      <c r="O58" s="12">
        <f>IF($A58="","",M58-N58)</f>
        <v/>
      </c>
      <c r="P58" s="14">
        <f>IF(J58&gt;0,(J58-H58)/J58,"")</f>
        <v/>
      </c>
      <c r="Q58" s="14">
        <f>IF(K58&gt;0,(K58-H58)/K58,"")</f>
        <v/>
      </c>
      <c r="R58" s="44">
        <f>IF($A58="","",J58-H58)</f>
        <v/>
      </c>
      <c r="S58" s="44">
        <f>IF($A58="","",O58*H58)</f>
        <v/>
      </c>
      <c r="T58" s="44">
        <f>IF($A58="","",O58*J58)</f>
        <v/>
      </c>
      <c r="U58" s="45" t="n"/>
      <c r="V58" s="40" t="n"/>
      <c r="W58" s="40" t="n"/>
      <c r="X58" s="40" t="n"/>
      <c r="Y58" s="40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5" t="n"/>
      <c r="I59" s="35" t="n"/>
      <c r="J59" s="35" t="n"/>
      <c r="K59" s="35" t="n"/>
      <c r="L59" s="35" t="n"/>
      <c r="M59" s="36" t="n"/>
      <c r="N59" s="37">
        <f>IF($A59="","",IFERROR(SUMIFS('Sales Log'!$E$4:$E$503,'Sales Log'!$C$4:$C$503,$A59),0))</f>
        <v/>
      </c>
      <c r="O59" s="16">
        <f>IF($A59="","",M59-N59)</f>
        <v/>
      </c>
      <c r="P59" s="18">
        <f>IF(J59&gt;0,(J59-H59)/J59,"")</f>
        <v/>
      </c>
      <c r="Q59" s="18">
        <f>IF(K59&gt;0,(K59-H59)/K59,"")</f>
        <v/>
      </c>
      <c r="R59" s="38">
        <f>IF($A59="","",J59-H59)</f>
        <v/>
      </c>
      <c r="S59" s="38">
        <f>IF($A59="","",O59*H59)</f>
        <v/>
      </c>
      <c r="T59" s="38">
        <f>IF($A59="","",O59*J59)</f>
        <v/>
      </c>
      <c r="U59" s="39" t="n"/>
      <c r="V59" s="34" t="n"/>
      <c r="W59" s="34" t="n"/>
      <c r="X59" s="34" t="n"/>
      <c r="Y59" s="34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1" t="n"/>
      <c r="I60" s="41" t="n"/>
      <c r="J60" s="41" t="n"/>
      <c r="K60" s="41" t="n"/>
      <c r="L60" s="41" t="n"/>
      <c r="M60" s="42" t="n"/>
      <c r="N60" s="43">
        <f>IF($A60="","",IFERROR(SUMIFS('Sales Log'!$E$4:$E$503,'Sales Log'!$C$4:$C$503,$A60),0))</f>
        <v/>
      </c>
      <c r="O60" s="12">
        <f>IF($A60="","",M60-N60)</f>
        <v/>
      </c>
      <c r="P60" s="14">
        <f>IF(J60&gt;0,(J60-H60)/J60,"")</f>
        <v/>
      </c>
      <c r="Q60" s="14">
        <f>IF(K60&gt;0,(K60-H60)/K60,"")</f>
        <v/>
      </c>
      <c r="R60" s="44">
        <f>IF($A60="","",J60-H60)</f>
        <v/>
      </c>
      <c r="S60" s="44">
        <f>IF($A60="","",O60*H60)</f>
        <v/>
      </c>
      <c r="T60" s="44">
        <f>IF($A60="","",O60*J60)</f>
        <v/>
      </c>
      <c r="U60" s="45" t="n"/>
      <c r="V60" s="40" t="n"/>
      <c r="W60" s="40" t="n"/>
      <c r="X60" s="40" t="n"/>
      <c r="Y60" s="40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5" t="n"/>
      <c r="I61" s="35" t="n"/>
      <c r="J61" s="35" t="n"/>
      <c r="K61" s="35" t="n"/>
      <c r="L61" s="35" t="n"/>
      <c r="M61" s="36" t="n"/>
      <c r="N61" s="37">
        <f>IF($A61="","",IFERROR(SUMIFS('Sales Log'!$E$4:$E$503,'Sales Log'!$C$4:$C$503,$A61),0))</f>
        <v/>
      </c>
      <c r="O61" s="16">
        <f>IF($A61="","",M61-N61)</f>
        <v/>
      </c>
      <c r="P61" s="18">
        <f>IF(J61&gt;0,(J61-H61)/J61,"")</f>
        <v/>
      </c>
      <c r="Q61" s="18">
        <f>IF(K61&gt;0,(K61-H61)/K61,"")</f>
        <v/>
      </c>
      <c r="R61" s="38">
        <f>IF($A61="","",J61-H61)</f>
        <v/>
      </c>
      <c r="S61" s="38">
        <f>IF($A61="","",O61*H61)</f>
        <v/>
      </c>
      <c r="T61" s="38">
        <f>IF($A61="","",O61*J61)</f>
        <v/>
      </c>
      <c r="U61" s="39" t="n"/>
      <c r="V61" s="34" t="n"/>
      <c r="W61" s="34" t="n"/>
      <c r="X61" s="34" t="n"/>
      <c r="Y61" s="34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1" t="n"/>
      <c r="I62" s="41" t="n"/>
      <c r="J62" s="41" t="n"/>
      <c r="K62" s="41" t="n"/>
      <c r="L62" s="41" t="n"/>
      <c r="M62" s="42" t="n"/>
      <c r="N62" s="43">
        <f>IF($A62="","",IFERROR(SUMIFS('Sales Log'!$E$4:$E$503,'Sales Log'!$C$4:$C$503,$A62),0))</f>
        <v/>
      </c>
      <c r="O62" s="12">
        <f>IF($A62="","",M62-N62)</f>
        <v/>
      </c>
      <c r="P62" s="14">
        <f>IF(J62&gt;0,(J62-H62)/J62,"")</f>
        <v/>
      </c>
      <c r="Q62" s="14">
        <f>IF(K62&gt;0,(K62-H62)/K62,"")</f>
        <v/>
      </c>
      <c r="R62" s="44">
        <f>IF($A62="","",J62-H62)</f>
        <v/>
      </c>
      <c r="S62" s="44">
        <f>IF($A62="","",O62*H62)</f>
        <v/>
      </c>
      <c r="T62" s="44">
        <f>IF($A62="","",O62*J62)</f>
        <v/>
      </c>
      <c r="U62" s="45" t="n"/>
      <c r="V62" s="40" t="n"/>
      <c r="W62" s="40" t="n"/>
      <c r="X62" s="40" t="n"/>
      <c r="Y62" s="40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5" t="n"/>
      <c r="I63" s="35" t="n"/>
      <c r="J63" s="35" t="n"/>
      <c r="K63" s="35" t="n"/>
      <c r="L63" s="35" t="n"/>
      <c r="M63" s="36" t="n"/>
      <c r="N63" s="37">
        <f>IF($A63="","",IFERROR(SUMIFS('Sales Log'!$E$4:$E$503,'Sales Log'!$C$4:$C$503,$A63),0))</f>
        <v/>
      </c>
      <c r="O63" s="16">
        <f>IF($A63="","",M63-N63)</f>
        <v/>
      </c>
      <c r="P63" s="18">
        <f>IF(J63&gt;0,(J63-H63)/J63,"")</f>
        <v/>
      </c>
      <c r="Q63" s="18">
        <f>IF(K63&gt;0,(K63-H63)/K63,"")</f>
        <v/>
      </c>
      <c r="R63" s="38">
        <f>IF($A63="","",J63-H63)</f>
        <v/>
      </c>
      <c r="S63" s="38">
        <f>IF($A63="","",O63*H63)</f>
        <v/>
      </c>
      <c r="T63" s="38">
        <f>IF($A63="","",O63*J63)</f>
        <v/>
      </c>
      <c r="U63" s="39" t="n"/>
      <c r="V63" s="34" t="n"/>
      <c r="W63" s="34" t="n"/>
      <c r="X63" s="34" t="n"/>
      <c r="Y63" s="34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1" t="n"/>
      <c r="I64" s="41" t="n"/>
      <c r="J64" s="41" t="n"/>
      <c r="K64" s="41" t="n"/>
      <c r="L64" s="41" t="n"/>
      <c r="M64" s="42" t="n"/>
      <c r="N64" s="43">
        <f>IF($A64="","",IFERROR(SUMIFS('Sales Log'!$E$4:$E$503,'Sales Log'!$C$4:$C$503,$A64),0))</f>
        <v/>
      </c>
      <c r="O64" s="12">
        <f>IF($A64="","",M64-N64)</f>
        <v/>
      </c>
      <c r="P64" s="14">
        <f>IF(J64&gt;0,(J64-H64)/J64,"")</f>
        <v/>
      </c>
      <c r="Q64" s="14">
        <f>IF(K64&gt;0,(K64-H64)/K64,"")</f>
        <v/>
      </c>
      <c r="R64" s="44">
        <f>IF($A64="","",J64-H64)</f>
        <v/>
      </c>
      <c r="S64" s="44">
        <f>IF($A64="","",O64*H64)</f>
        <v/>
      </c>
      <c r="T64" s="44">
        <f>IF($A64="","",O64*J64)</f>
        <v/>
      </c>
      <c r="U64" s="45" t="n"/>
      <c r="V64" s="40" t="n"/>
      <c r="W64" s="40" t="n"/>
      <c r="X64" s="40" t="n"/>
      <c r="Y64" s="40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5" t="n"/>
      <c r="I65" s="35" t="n"/>
      <c r="J65" s="35" t="n"/>
      <c r="K65" s="35" t="n"/>
      <c r="L65" s="35" t="n"/>
      <c r="M65" s="36" t="n"/>
      <c r="N65" s="37">
        <f>IF($A65="","",IFERROR(SUMIFS('Sales Log'!$E$4:$E$503,'Sales Log'!$C$4:$C$503,$A65),0))</f>
        <v/>
      </c>
      <c r="O65" s="16">
        <f>IF($A65="","",M65-N65)</f>
        <v/>
      </c>
      <c r="P65" s="18">
        <f>IF(J65&gt;0,(J65-H65)/J65,"")</f>
        <v/>
      </c>
      <c r="Q65" s="18">
        <f>IF(K65&gt;0,(K65-H65)/K65,"")</f>
        <v/>
      </c>
      <c r="R65" s="38">
        <f>IF($A65="","",J65-H65)</f>
        <v/>
      </c>
      <c r="S65" s="38">
        <f>IF($A65="","",O65*H65)</f>
        <v/>
      </c>
      <c r="T65" s="38">
        <f>IF($A65="","",O65*J65)</f>
        <v/>
      </c>
      <c r="U65" s="39" t="n"/>
      <c r="V65" s="34" t="n"/>
      <c r="W65" s="34" t="n"/>
      <c r="X65" s="34" t="n"/>
      <c r="Y65" s="34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1" t="n"/>
      <c r="I66" s="41" t="n"/>
      <c r="J66" s="41" t="n"/>
      <c r="K66" s="41" t="n"/>
      <c r="L66" s="41" t="n"/>
      <c r="M66" s="42" t="n"/>
      <c r="N66" s="43">
        <f>IF($A66="","",IFERROR(SUMIFS('Sales Log'!$E$4:$E$503,'Sales Log'!$C$4:$C$503,$A66),0))</f>
        <v/>
      </c>
      <c r="O66" s="12">
        <f>IF($A66="","",M66-N66)</f>
        <v/>
      </c>
      <c r="P66" s="14">
        <f>IF(J66&gt;0,(J66-H66)/J66,"")</f>
        <v/>
      </c>
      <c r="Q66" s="14">
        <f>IF(K66&gt;0,(K66-H66)/K66,"")</f>
        <v/>
      </c>
      <c r="R66" s="44">
        <f>IF($A66="","",J66-H66)</f>
        <v/>
      </c>
      <c r="S66" s="44">
        <f>IF($A66="","",O66*H66)</f>
        <v/>
      </c>
      <c r="T66" s="44">
        <f>IF($A66="","",O66*J66)</f>
        <v/>
      </c>
      <c r="U66" s="45" t="n"/>
      <c r="V66" s="40" t="n"/>
      <c r="W66" s="40" t="n"/>
      <c r="X66" s="40" t="n"/>
      <c r="Y66" s="40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5" t="n"/>
      <c r="I67" s="35" t="n"/>
      <c r="J67" s="35" t="n"/>
      <c r="K67" s="35" t="n"/>
      <c r="L67" s="35" t="n"/>
      <c r="M67" s="36" t="n"/>
      <c r="N67" s="37">
        <f>IF($A67="","",IFERROR(SUMIFS('Sales Log'!$E$4:$E$503,'Sales Log'!$C$4:$C$503,$A67),0))</f>
        <v/>
      </c>
      <c r="O67" s="16">
        <f>IF($A67="","",M67-N67)</f>
        <v/>
      </c>
      <c r="P67" s="18">
        <f>IF(J67&gt;0,(J67-H67)/J67,"")</f>
        <v/>
      </c>
      <c r="Q67" s="18">
        <f>IF(K67&gt;0,(K67-H67)/K67,"")</f>
        <v/>
      </c>
      <c r="R67" s="38">
        <f>IF($A67="","",J67-H67)</f>
        <v/>
      </c>
      <c r="S67" s="38">
        <f>IF($A67="","",O67*H67)</f>
        <v/>
      </c>
      <c r="T67" s="38">
        <f>IF($A67="","",O67*J67)</f>
        <v/>
      </c>
      <c r="U67" s="39" t="n"/>
      <c r="V67" s="34" t="n"/>
      <c r="W67" s="34" t="n"/>
      <c r="X67" s="34" t="n"/>
      <c r="Y67" s="34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1" t="n"/>
      <c r="I68" s="41" t="n"/>
      <c r="J68" s="41" t="n"/>
      <c r="K68" s="41" t="n"/>
      <c r="L68" s="41" t="n"/>
      <c r="M68" s="42" t="n"/>
      <c r="N68" s="43">
        <f>IF($A68="","",IFERROR(SUMIFS('Sales Log'!$E$4:$E$503,'Sales Log'!$C$4:$C$503,$A68),0))</f>
        <v/>
      </c>
      <c r="O68" s="12">
        <f>IF($A68="","",M68-N68)</f>
        <v/>
      </c>
      <c r="P68" s="14">
        <f>IF(J68&gt;0,(J68-H68)/J68,"")</f>
        <v/>
      </c>
      <c r="Q68" s="14">
        <f>IF(K68&gt;0,(K68-H68)/K68,"")</f>
        <v/>
      </c>
      <c r="R68" s="44">
        <f>IF($A68="","",J68-H68)</f>
        <v/>
      </c>
      <c r="S68" s="44">
        <f>IF($A68="","",O68*H68)</f>
        <v/>
      </c>
      <c r="T68" s="44">
        <f>IF($A68="","",O68*J68)</f>
        <v/>
      </c>
      <c r="U68" s="45" t="n"/>
      <c r="V68" s="40" t="n"/>
      <c r="W68" s="40" t="n"/>
      <c r="X68" s="40" t="n"/>
      <c r="Y68" s="40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5" t="n"/>
      <c r="I69" s="35" t="n"/>
      <c r="J69" s="35" t="n"/>
      <c r="K69" s="35" t="n"/>
      <c r="L69" s="35" t="n"/>
      <c r="M69" s="36" t="n"/>
      <c r="N69" s="37">
        <f>IF($A69="","",IFERROR(SUMIFS('Sales Log'!$E$4:$E$503,'Sales Log'!$C$4:$C$503,$A69),0))</f>
        <v/>
      </c>
      <c r="O69" s="16">
        <f>IF($A69="","",M69-N69)</f>
        <v/>
      </c>
      <c r="P69" s="18">
        <f>IF(J69&gt;0,(J69-H69)/J69,"")</f>
        <v/>
      </c>
      <c r="Q69" s="18">
        <f>IF(K69&gt;0,(K69-H69)/K69,"")</f>
        <v/>
      </c>
      <c r="R69" s="38">
        <f>IF($A69="","",J69-H69)</f>
        <v/>
      </c>
      <c r="S69" s="38">
        <f>IF($A69="","",O69*H69)</f>
        <v/>
      </c>
      <c r="T69" s="38">
        <f>IF($A69="","",O69*J69)</f>
        <v/>
      </c>
      <c r="U69" s="39" t="n"/>
      <c r="V69" s="34" t="n"/>
      <c r="W69" s="34" t="n"/>
      <c r="X69" s="34" t="n"/>
      <c r="Y69" s="34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1" t="n"/>
      <c r="I70" s="41" t="n"/>
      <c r="J70" s="41" t="n"/>
      <c r="K70" s="41" t="n"/>
      <c r="L70" s="41" t="n"/>
      <c r="M70" s="42" t="n"/>
      <c r="N70" s="43">
        <f>IF($A70="","",IFERROR(SUMIFS('Sales Log'!$E$4:$E$503,'Sales Log'!$C$4:$C$503,$A70),0))</f>
        <v/>
      </c>
      <c r="O70" s="12">
        <f>IF($A70="","",M70-N70)</f>
        <v/>
      </c>
      <c r="P70" s="14">
        <f>IF(J70&gt;0,(J70-H70)/J70,"")</f>
        <v/>
      </c>
      <c r="Q70" s="14">
        <f>IF(K70&gt;0,(K70-H70)/K70,"")</f>
        <v/>
      </c>
      <c r="R70" s="44">
        <f>IF($A70="","",J70-H70)</f>
        <v/>
      </c>
      <c r="S70" s="44">
        <f>IF($A70="","",O70*H70)</f>
        <v/>
      </c>
      <c r="T70" s="44">
        <f>IF($A70="","",O70*J70)</f>
        <v/>
      </c>
      <c r="U70" s="45" t="n"/>
      <c r="V70" s="40" t="n"/>
      <c r="W70" s="40" t="n"/>
      <c r="X70" s="40" t="n"/>
      <c r="Y70" s="40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5" t="n"/>
      <c r="I71" s="35" t="n"/>
      <c r="J71" s="35" t="n"/>
      <c r="K71" s="35" t="n"/>
      <c r="L71" s="35" t="n"/>
      <c r="M71" s="36" t="n"/>
      <c r="N71" s="37">
        <f>IF($A71="","",IFERROR(SUMIFS('Sales Log'!$E$4:$E$503,'Sales Log'!$C$4:$C$503,$A71),0))</f>
        <v/>
      </c>
      <c r="O71" s="16">
        <f>IF($A71="","",M71-N71)</f>
        <v/>
      </c>
      <c r="P71" s="18">
        <f>IF(J71&gt;0,(J71-H71)/J71,"")</f>
        <v/>
      </c>
      <c r="Q71" s="18">
        <f>IF(K71&gt;0,(K71-H71)/K71,"")</f>
        <v/>
      </c>
      <c r="R71" s="38">
        <f>IF($A71="","",J71-H71)</f>
        <v/>
      </c>
      <c r="S71" s="38">
        <f>IF($A71="","",O71*H71)</f>
        <v/>
      </c>
      <c r="T71" s="38">
        <f>IF($A71="","",O71*J71)</f>
        <v/>
      </c>
      <c r="U71" s="39" t="n"/>
      <c r="V71" s="34" t="n"/>
      <c r="W71" s="34" t="n"/>
      <c r="X71" s="34" t="n"/>
      <c r="Y71" s="34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1" t="n"/>
      <c r="I72" s="41" t="n"/>
      <c r="J72" s="41" t="n"/>
      <c r="K72" s="41" t="n"/>
      <c r="L72" s="41" t="n"/>
      <c r="M72" s="42" t="n"/>
      <c r="N72" s="43">
        <f>IF($A72="","",IFERROR(SUMIFS('Sales Log'!$E$4:$E$503,'Sales Log'!$C$4:$C$503,$A72),0))</f>
        <v/>
      </c>
      <c r="O72" s="12">
        <f>IF($A72="","",M72-N72)</f>
        <v/>
      </c>
      <c r="P72" s="14">
        <f>IF(J72&gt;0,(J72-H72)/J72,"")</f>
        <v/>
      </c>
      <c r="Q72" s="14">
        <f>IF(K72&gt;0,(K72-H72)/K72,"")</f>
        <v/>
      </c>
      <c r="R72" s="44">
        <f>IF($A72="","",J72-H72)</f>
        <v/>
      </c>
      <c r="S72" s="44">
        <f>IF($A72="","",O72*H72)</f>
        <v/>
      </c>
      <c r="T72" s="44">
        <f>IF($A72="","",O72*J72)</f>
        <v/>
      </c>
      <c r="U72" s="45" t="n"/>
      <c r="V72" s="40" t="n"/>
      <c r="W72" s="40" t="n"/>
      <c r="X72" s="40" t="n"/>
      <c r="Y72" s="40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5" t="n"/>
      <c r="I73" s="35" t="n"/>
      <c r="J73" s="35" t="n"/>
      <c r="K73" s="35" t="n"/>
      <c r="L73" s="35" t="n"/>
      <c r="M73" s="36" t="n"/>
      <c r="N73" s="37">
        <f>IF($A73="","",IFERROR(SUMIFS('Sales Log'!$E$4:$E$503,'Sales Log'!$C$4:$C$503,$A73),0))</f>
        <v/>
      </c>
      <c r="O73" s="16">
        <f>IF($A73="","",M73-N73)</f>
        <v/>
      </c>
      <c r="P73" s="18">
        <f>IF(J73&gt;0,(J73-H73)/J73,"")</f>
        <v/>
      </c>
      <c r="Q73" s="18">
        <f>IF(K73&gt;0,(K73-H73)/K73,"")</f>
        <v/>
      </c>
      <c r="R73" s="38">
        <f>IF($A73="","",J73-H73)</f>
        <v/>
      </c>
      <c r="S73" s="38">
        <f>IF($A73="","",O73*H73)</f>
        <v/>
      </c>
      <c r="T73" s="38">
        <f>IF($A73="","",O73*J73)</f>
        <v/>
      </c>
      <c r="U73" s="39" t="n"/>
      <c r="V73" s="34" t="n"/>
      <c r="W73" s="34" t="n"/>
      <c r="X73" s="34" t="n"/>
      <c r="Y73" s="34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1" t="n"/>
      <c r="I74" s="41" t="n"/>
      <c r="J74" s="41" t="n"/>
      <c r="K74" s="41" t="n"/>
      <c r="L74" s="41" t="n"/>
      <c r="M74" s="42" t="n"/>
      <c r="N74" s="43">
        <f>IF($A74="","",IFERROR(SUMIFS('Sales Log'!$E$4:$E$503,'Sales Log'!$C$4:$C$503,$A74),0))</f>
        <v/>
      </c>
      <c r="O74" s="12">
        <f>IF($A74="","",M74-N74)</f>
        <v/>
      </c>
      <c r="P74" s="14">
        <f>IF(J74&gt;0,(J74-H74)/J74,"")</f>
        <v/>
      </c>
      <c r="Q74" s="14">
        <f>IF(K74&gt;0,(K74-H74)/K74,"")</f>
        <v/>
      </c>
      <c r="R74" s="44">
        <f>IF($A74="","",J74-H74)</f>
        <v/>
      </c>
      <c r="S74" s="44">
        <f>IF($A74="","",O74*H74)</f>
        <v/>
      </c>
      <c r="T74" s="44">
        <f>IF($A74="","",O74*J74)</f>
        <v/>
      </c>
      <c r="U74" s="45" t="n"/>
      <c r="V74" s="40" t="n"/>
      <c r="W74" s="40" t="n"/>
      <c r="X74" s="40" t="n"/>
      <c r="Y74" s="40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5" t="n"/>
      <c r="I75" s="35" t="n"/>
      <c r="J75" s="35" t="n"/>
      <c r="K75" s="35" t="n"/>
      <c r="L75" s="35" t="n"/>
      <c r="M75" s="36" t="n"/>
      <c r="N75" s="37">
        <f>IF($A75="","",IFERROR(SUMIFS('Sales Log'!$E$4:$E$503,'Sales Log'!$C$4:$C$503,$A75),0))</f>
        <v/>
      </c>
      <c r="O75" s="16">
        <f>IF($A75="","",M75-N75)</f>
        <v/>
      </c>
      <c r="P75" s="18">
        <f>IF(J75&gt;0,(J75-H75)/J75,"")</f>
        <v/>
      </c>
      <c r="Q75" s="18">
        <f>IF(K75&gt;0,(K75-H75)/K75,"")</f>
        <v/>
      </c>
      <c r="R75" s="38">
        <f>IF($A75="","",J75-H75)</f>
        <v/>
      </c>
      <c r="S75" s="38">
        <f>IF($A75="","",O75*H75)</f>
        <v/>
      </c>
      <c r="T75" s="38">
        <f>IF($A75="","",O75*J75)</f>
        <v/>
      </c>
      <c r="U75" s="39" t="n"/>
      <c r="V75" s="34" t="n"/>
      <c r="W75" s="34" t="n"/>
      <c r="X75" s="34" t="n"/>
      <c r="Y75" s="34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1" t="n"/>
      <c r="I76" s="41" t="n"/>
      <c r="J76" s="41" t="n"/>
      <c r="K76" s="41" t="n"/>
      <c r="L76" s="41" t="n"/>
      <c r="M76" s="42" t="n"/>
      <c r="N76" s="43">
        <f>IF($A76="","",IFERROR(SUMIFS('Sales Log'!$E$4:$E$503,'Sales Log'!$C$4:$C$503,$A76),0))</f>
        <v/>
      </c>
      <c r="O76" s="12">
        <f>IF($A76="","",M76-N76)</f>
        <v/>
      </c>
      <c r="P76" s="14">
        <f>IF(J76&gt;0,(J76-H76)/J76,"")</f>
        <v/>
      </c>
      <c r="Q76" s="14">
        <f>IF(K76&gt;0,(K76-H76)/K76,"")</f>
        <v/>
      </c>
      <c r="R76" s="44">
        <f>IF($A76="","",J76-H76)</f>
        <v/>
      </c>
      <c r="S76" s="44">
        <f>IF($A76="","",O76*H76)</f>
        <v/>
      </c>
      <c r="T76" s="44">
        <f>IF($A76="","",O76*J76)</f>
        <v/>
      </c>
      <c r="U76" s="45" t="n"/>
      <c r="V76" s="40" t="n"/>
      <c r="W76" s="40" t="n"/>
      <c r="X76" s="40" t="n"/>
      <c r="Y76" s="40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5" t="n"/>
      <c r="I77" s="35" t="n"/>
      <c r="J77" s="35" t="n"/>
      <c r="K77" s="35" t="n"/>
      <c r="L77" s="35" t="n"/>
      <c r="M77" s="36" t="n"/>
      <c r="N77" s="37">
        <f>IF($A77="","",IFERROR(SUMIFS('Sales Log'!$E$4:$E$503,'Sales Log'!$C$4:$C$503,$A77),0))</f>
        <v/>
      </c>
      <c r="O77" s="16">
        <f>IF($A77="","",M77-N77)</f>
        <v/>
      </c>
      <c r="P77" s="18">
        <f>IF(J77&gt;0,(J77-H77)/J77,"")</f>
        <v/>
      </c>
      <c r="Q77" s="18">
        <f>IF(K77&gt;0,(K77-H77)/K77,"")</f>
        <v/>
      </c>
      <c r="R77" s="38">
        <f>IF($A77="","",J77-H77)</f>
        <v/>
      </c>
      <c r="S77" s="38">
        <f>IF($A77="","",O77*H77)</f>
        <v/>
      </c>
      <c r="T77" s="38">
        <f>IF($A77="","",O77*J77)</f>
        <v/>
      </c>
      <c r="U77" s="39" t="n"/>
      <c r="V77" s="34" t="n"/>
      <c r="W77" s="34" t="n"/>
      <c r="X77" s="34" t="n"/>
      <c r="Y77" s="34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1" t="n"/>
      <c r="I78" s="41" t="n"/>
      <c r="J78" s="41" t="n"/>
      <c r="K78" s="41" t="n"/>
      <c r="L78" s="41" t="n"/>
      <c r="M78" s="42" t="n"/>
      <c r="N78" s="43">
        <f>IF($A78="","",IFERROR(SUMIFS('Sales Log'!$E$4:$E$503,'Sales Log'!$C$4:$C$503,$A78),0))</f>
        <v/>
      </c>
      <c r="O78" s="12">
        <f>IF($A78="","",M78-N78)</f>
        <v/>
      </c>
      <c r="P78" s="14">
        <f>IF(J78&gt;0,(J78-H78)/J78,"")</f>
        <v/>
      </c>
      <c r="Q78" s="14">
        <f>IF(K78&gt;0,(K78-H78)/K78,"")</f>
        <v/>
      </c>
      <c r="R78" s="44">
        <f>IF($A78="","",J78-H78)</f>
        <v/>
      </c>
      <c r="S78" s="44">
        <f>IF($A78="","",O78*H78)</f>
        <v/>
      </c>
      <c r="T78" s="44">
        <f>IF($A78="","",O78*J78)</f>
        <v/>
      </c>
      <c r="U78" s="45" t="n"/>
      <c r="V78" s="40" t="n"/>
      <c r="W78" s="40" t="n"/>
      <c r="X78" s="40" t="n"/>
      <c r="Y78" s="40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5" t="n"/>
      <c r="I79" s="35" t="n"/>
      <c r="J79" s="35" t="n"/>
      <c r="K79" s="35" t="n"/>
      <c r="L79" s="35" t="n"/>
      <c r="M79" s="36" t="n"/>
      <c r="N79" s="37">
        <f>IF($A79="","",IFERROR(SUMIFS('Sales Log'!$E$4:$E$503,'Sales Log'!$C$4:$C$503,$A79),0))</f>
        <v/>
      </c>
      <c r="O79" s="16">
        <f>IF($A79="","",M79-N79)</f>
        <v/>
      </c>
      <c r="P79" s="18">
        <f>IF(J79&gt;0,(J79-H79)/J79,"")</f>
        <v/>
      </c>
      <c r="Q79" s="18">
        <f>IF(K79&gt;0,(K79-H79)/K79,"")</f>
        <v/>
      </c>
      <c r="R79" s="38">
        <f>IF($A79="","",J79-H79)</f>
        <v/>
      </c>
      <c r="S79" s="38">
        <f>IF($A79="","",O79*H79)</f>
        <v/>
      </c>
      <c r="T79" s="38">
        <f>IF($A79="","",O79*J79)</f>
        <v/>
      </c>
      <c r="U79" s="39" t="n"/>
      <c r="V79" s="34" t="n"/>
      <c r="W79" s="34" t="n"/>
      <c r="X79" s="34" t="n"/>
      <c r="Y79" s="34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1" t="n"/>
      <c r="I80" s="41" t="n"/>
      <c r="J80" s="41" t="n"/>
      <c r="K80" s="41" t="n"/>
      <c r="L80" s="41" t="n"/>
      <c r="M80" s="42" t="n"/>
      <c r="N80" s="43">
        <f>IF($A80="","",IFERROR(SUMIFS('Sales Log'!$E$4:$E$503,'Sales Log'!$C$4:$C$503,$A80),0))</f>
        <v/>
      </c>
      <c r="O80" s="12">
        <f>IF($A80="","",M80-N80)</f>
        <v/>
      </c>
      <c r="P80" s="14">
        <f>IF(J80&gt;0,(J80-H80)/J80,"")</f>
        <v/>
      </c>
      <c r="Q80" s="14">
        <f>IF(K80&gt;0,(K80-H80)/K80,"")</f>
        <v/>
      </c>
      <c r="R80" s="44">
        <f>IF($A80="","",J80-H80)</f>
        <v/>
      </c>
      <c r="S80" s="44">
        <f>IF($A80="","",O80*H80)</f>
        <v/>
      </c>
      <c r="T80" s="44">
        <f>IF($A80="","",O80*J80)</f>
        <v/>
      </c>
      <c r="U80" s="45" t="n"/>
      <c r="V80" s="40" t="n"/>
      <c r="W80" s="40" t="n"/>
      <c r="X80" s="40" t="n"/>
      <c r="Y80" s="40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5" t="n"/>
      <c r="I81" s="35" t="n"/>
      <c r="J81" s="35" t="n"/>
      <c r="K81" s="35" t="n"/>
      <c r="L81" s="35" t="n"/>
      <c r="M81" s="36" t="n"/>
      <c r="N81" s="37">
        <f>IF($A81="","",IFERROR(SUMIFS('Sales Log'!$E$4:$E$503,'Sales Log'!$C$4:$C$503,$A81),0))</f>
        <v/>
      </c>
      <c r="O81" s="16">
        <f>IF($A81="","",M81-N81)</f>
        <v/>
      </c>
      <c r="P81" s="18">
        <f>IF(J81&gt;0,(J81-H81)/J81,"")</f>
        <v/>
      </c>
      <c r="Q81" s="18">
        <f>IF(K81&gt;0,(K81-H81)/K81,"")</f>
        <v/>
      </c>
      <c r="R81" s="38">
        <f>IF($A81="","",J81-H81)</f>
        <v/>
      </c>
      <c r="S81" s="38">
        <f>IF($A81="","",O81*H81)</f>
        <v/>
      </c>
      <c r="T81" s="38">
        <f>IF($A81="","",O81*J81)</f>
        <v/>
      </c>
      <c r="U81" s="39" t="n"/>
      <c r="V81" s="34" t="n"/>
      <c r="W81" s="34" t="n"/>
      <c r="X81" s="34" t="n"/>
      <c r="Y81" s="34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1" t="n"/>
      <c r="I82" s="41" t="n"/>
      <c r="J82" s="41" t="n"/>
      <c r="K82" s="41" t="n"/>
      <c r="L82" s="41" t="n"/>
      <c r="M82" s="42" t="n"/>
      <c r="N82" s="43">
        <f>IF($A82="","",IFERROR(SUMIFS('Sales Log'!$E$4:$E$503,'Sales Log'!$C$4:$C$503,$A82),0))</f>
        <v/>
      </c>
      <c r="O82" s="12">
        <f>IF($A82="","",M82-N82)</f>
        <v/>
      </c>
      <c r="P82" s="14">
        <f>IF(J82&gt;0,(J82-H82)/J82,"")</f>
        <v/>
      </c>
      <c r="Q82" s="14">
        <f>IF(K82&gt;0,(K82-H82)/K82,"")</f>
        <v/>
      </c>
      <c r="R82" s="44">
        <f>IF($A82="","",J82-H82)</f>
        <v/>
      </c>
      <c r="S82" s="44">
        <f>IF($A82="","",O82*H82)</f>
        <v/>
      </c>
      <c r="T82" s="44">
        <f>IF($A82="","",O82*J82)</f>
        <v/>
      </c>
      <c r="U82" s="45" t="n"/>
      <c r="V82" s="40" t="n"/>
      <c r="W82" s="40" t="n"/>
      <c r="X82" s="40" t="n"/>
      <c r="Y82" s="40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5" t="n"/>
      <c r="I83" s="35" t="n"/>
      <c r="J83" s="35" t="n"/>
      <c r="K83" s="35" t="n"/>
      <c r="L83" s="35" t="n"/>
      <c r="M83" s="36" t="n"/>
      <c r="N83" s="37">
        <f>IF($A83="","",IFERROR(SUMIFS('Sales Log'!$E$4:$E$503,'Sales Log'!$C$4:$C$503,$A83),0))</f>
        <v/>
      </c>
      <c r="O83" s="16">
        <f>IF($A83="","",M83-N83)</f>
        <v/>
      </c>
      <c r="P83" s="18">
        <f>IF(J83&gt;0,(J83-H83)/J83,"")</f>
        <v/>
      </c>
      <c r="Q83" s="18">
        <f>IF(K83&gt;0,(K83-H83)/K83,"")</f>
        <v/>
      </c>
      <c r="R83" s="38">
        <f>IF($A83="","",J83-H83)</f>
        <v/>
      </c>
      <c r="S83" s="38">
        <f>IF($A83="","",O83*H83)</f>
        <v/>
      </c>
      <c r="T83" s="38">
        <f>IF($A83="","",O83*J83)</f>
        <v/>
      </c>
      <c r="U83" s="39" t="n"/>
      <c r="V83" s="34" t="n"/>
      <c r="W83" s="34" t="n"/>
      <c r="X83" s="34" t="n"/>
      <c r="Y83" s="34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1" t="n"/>
      <c r="I84" s="41" t="n"/>
      <c r="J84" s="41" t="n"/>
      <c r="K84" s="41" t="n"/>
      <c r="L84" s="41" t="n"/>
      <c r="M84" s="42" t="n"/>
      <c r="N84" s="43">
        <f>IF($A84="","",IFERROR(SUMIFS('Sales Log'!$E$4:$E$503,'Sales Log'!$C$4:$C$503,$A84),0))</f>
        <v/>
      </c>
      <c r="O84" s="12">
        <f>IF($A84="","",M84-N84)</f>
        <v/>
      </c>
      <c r="P84" s="14">
        <f>IF(J84&gt;0,(J84-H84)/J84,"")</f>
        <v/>
      </c>
      <c r="Q84" s="14">
        <f>IF(K84&gt;0,(K84-H84)/K84,"")</f>
        <v/>
      </c>
      <c r="R84" s="44">
        <f>IF($A84="","",J84-H84)</f>
        <v/>
      </c>
      <c r="S84" s="44">
        <f>IF($A84="","",O84*H84)</f>
        <v/>
      </c>
      <c r="T84" s="44">
        <f>IF($A84="","",O84*J84)</f>
        <v/>
      </c>
      <c r="U84" s="45" t="n"/>
      <c r="V84" s="40" t="n"/>
      <c r="W84" s="40" t="n"/>
      <c r="X84" s="40" t="n"/>
      <c r="Y84" s="40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5" t="n"/>
      <c r="I85" s="35" t="n"/>
      <c r="J85" s="35" t="n"/>
      <c r="K85" s="35" t="n"/>
      <c r="L85" s="35" t="n"/>
      <c r="M85" s="36" t="n"/>
      <c r="N85" s="37">
        <f>IF($A85="","",IFERROR(SUMIFS('Sales Log'!$E$4:$E$503,'Sales Log'!$C$4:$C$503,$A85),0))</f>
        <v/>
      </c>
      <c r="O85" s="16">
        <f>IF($A85="","",M85-N85)</f>
        <v/>
      </c>
      <c r="P85" s="18">
        <f>IF(J85&gt;0,(J85-H85)/J85,"")</f>
        <v/>
      </c>
      <c r="Q85" s="18">
        <f>IF(K85&gt;0,(K85-H85)/K85,"")</f>
        <v/>
      </c>
      <c r="R85" s="38">
        <f>IF($A85="","",J85-H85)</f>
        <v/>
      </c>
      <c r="S85" s="38">
        <f>IF($A85="","",O85*H85)</f>
        <v/>
      </c>
      <c r="T85" s="38">
        <f>IF($A85="","",O85*J85)</f>
        <v/>
      </c>
      <c r="U85" s="39" t="n"/>
      <c r="V85" s="34" t="n"/>
      <c r="W85" s="34" t="n"/>
      <c r="X85" s="34" t="n"/>
      <c r="Y85" s="34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1" t="n"/>
      <c r="I86" s="41" t="n"/>
      <c r="J86" s="41" t="n"/>
      <c r="K86" s="41" t="n"/>
      <c r="L86" s="41" t="n"/>
      <c r="M86" s="42" t="n"/>
      <c r="N86" s="43">
        <f>IF($A86="","",IFERROR(SUMIFS('Sales Log'!$E$4:$E$503,'Sales Log'!$C$4:$C$503,$A86),0))</f>
        <v/>
      </c>
      <c r="O86" s="12">
        <f>IF($A86="","",M86-N86)</f>
        <v/>
      </c>
      <c r="P86" s="14">
        <f>IF(J86&gt;0,(J86-H86)/J86,"")</f>
        <v/>
      </c>
      <c r="Q86" s="14">
        <f>IF(K86&gt;0,(K86-H86)/K86,"")</f>
        <v/>
      </c>
      <c r="R86" s="44">
        <f>IF($A86="","",J86-H86)</f>
        <v/>
      </c>
      <c r="S86" s="44">
        <f>IF($A86="","",O86*H86)</f>
        <v/>
      </c>
      <c r="T86" s="44">
        <f>IF($A86="","",O86*J86)</f>
        <v/>
      </c>
      <c r="U86" s="45" t="n"/>
      <c r="V86" s="40" t="n"/>
      <c r="W86" s="40" t="n"/>
      <c r="X86" s="40" t="n"/>
      <c r="Y86" s="40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5" t="n"/>
      <c r="I87" s="35" t="n"/>
      <c r="J87" s="35" t="n"/>
      <c r="K87" s="35" t="n"/>
      <c r="L87" s="35" t="n"/>
      <c r="M87" s="36" t="n"/>
      <c r="N87" s="37">
        <f>IF($A87="","",IFERROR(SUMIFS('Sales Log'!$E$4:$E$503,'Sales Log'!$C$4:$C$503,$A87),0))</f>
        <v/>
      </c>
      <c r="O87" s="16">
        <f>IF($A87="","",M87-N87)</f>
        <v/>
      </c>
      <c r="P87" s="18">
        <f>IF(J87&gt;0,(J87-H87)/J87,"")</f>
        <v/>
      </c>
      <c r="Q87" s="18">
        <f>IF(K87&gt;0,(K87-H87)/K87,"")</f>
        <v/>
      </c>
      <c r="R87" s="38">
        <f>IF($A87="","",J87-H87)</f>
        <v/>
      </c>
      <c r="S87" s="38">
        <f>IF($A87="","",O87*H87)</f>
        <v/>
      </c>
      <c r="T87" s="38">
        <f>IF($A87="","",O87*J87)</f>
        <v/>
      </c>
      <c r="U87" s="39" t="n"/>
      <c r="V87" s="34" t="n"/>
      <c r="W87" s="34" t="n"/>
      <c r="X87" s="34" t="n"/>
      <c r="Y87" s="34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1" t="n"/>
      <c r="I88" s="41" t="n"/>
      <c r="J88" s="41" t="n"/>
      <c r="K88" s="41" t="n"/>
      <c r="L88" s="41" t="n"/>
      <c r="M88" s="42" t="n"/>
      <c r="N88" s="43">
        <f>IF($A88="","",IFERROR(SUMIFS('Sales Log'!$E$4:$E$503,'Sales Log'!$C$4:$C$503,$A88),0))</f>
        <v/>
      </c>
      <c r="O88" s="12">
        <f>IF($A88="","",M88-N88)</f>
        <v/>
      </c>
      <c r="P88" s="14">
        <f>IF(J88&gt;0,(J88-H88)/J88,"")</f>
        <v/>
      </c>
      <c r="Q88" s="14">
        <f>IF(K88&gt;0,(K88-H88)/K88,"")</f>
        <v/>
      </c>
      <c r="R88" s="44">
        <f>IF($A88="","",J88-H88)</f>
        <v/>
      </c>
      <c r="S88" s="44">
        <f>IF($A88="","",O88*H88)</f>
        <v/>
      </c>
      <c r="T88" s="44">
        <f>IF($A88="","",O88*J88)</f>
        <v/>
      </c>
      <c r="U88" s="45" t="n"/>
      <c r="V88" s="40" t="n"/>
      <c r="W88" s="40" t="n"/>
      <c r="X88" s="40" t="n"/>
      <c r="Y88" s="40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5" t="n"/>
      <c r="I89" s="35" t="n"/>
      <c r="J89" s="35" t="n"/>
      <c r="K89" s="35" t="n"/>
      <c r="L89" s="35" t="n"/>
      <c r="M89" s="36" t="n"/>
      <c r="N89" s="37">
        <f>IF($A89="","",IFERROR(SUMIFS('Sales Log'!$E$4:$E$503,'Sales Log'!$C$4:$C$503,$A89),0))</f>
        <v/>
      </c>
      <c r="O89" s="16">
        <f>IF($A89="","",M89-N89)</f>
        <v/>
      </c>
      <c r="P89" s="18">
        <f>IF(J89&gt;0,(J89-H89)/J89,"")</f>
        <v/>
      </c>
      <c r="Q89" s="18">
        <f>IF(K89&gt;0,(K89-H89)/K89,"")</f>
        <v/>
      </c>
      <c r="R89" s="38">
        <f>IF($A89="","",J89-H89)</f>
        <v/>
      </c>
      <c r="S89" s="38">
        <f>IF($A89="","",O89*H89)</f>
        <v/>
      </c>
      <c r="T89" s="38">
        <f>IF($A89="","",O89*J89)</f>
        <v/>
      </c>
      <c r="U89" s="39" t="n"/>
      <c r="V89" s="34" t="n"/>
      <c r="W89" s="34" t="n"/>
      <c r="X89" s="34" t="n"/>
      <c r="Y89" s="34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1" t="n"/>
      <c r="I90" s="41" t="n"/>
      <c r="J90" s="41" t="n"/>
      <c r="K90" s="41" t="n"/>
      <c r="L90" s="41" t="n"/>
      <c r="M90" s="42" t="n"/>
      <c r="N90" s="43">
        <f>IF($A90="","",IFERROR(SUMIFS('Sales Log'!$E$4:$E$503,'Sales Log'!$C$4:$C$503,$A90),0))</f>
        <v/>
      </c>
      <c r="O90" s="12">
        <f>IF($A90="","",M90-N90)</f>
        <v/>
      </c>
      <c r="P90" s="14">
        <f>IF(J90&gt;0,(J90-H90)/J90,"")</f>
        <v/>
      </c>
      <c r="Q90" s="14">
        <f>IF(K90&gt;0,(K90-H90)/K90,"")</f>
        <v/>
      </c>
      <c r="R90" s="44">
        <f>IF($A90="","",J90-H90)</f>
        <v/>
      </c>
      <c r="S90" s="44">
        <f>IF($A90="","",O90*H90)</f>
        <v/>
      </c>
      <c r="T90" s="44">
        <f>IF($A90="","",O90*J90)</f>
        <v/>
      </c>
      <c r="U90" s="45" t="n"/>
      <c r="V90" s="40" t="n"/>
      <c r="W90" s="40" t="n"/>
      <c r="X90" s="40" t="n"/>
      <c r="Y90" s="40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5" t="n"/>
      <c r="I91" s="35" t="n"/>
      <c r="J91" s="35" t="n"/>
      <c r="K91" s="35" t="n"/>
      <c r="L91" s="35" t="n"/>
      <c r="M91" s="36" t="n"/>
      <c r="N91" s="37">
        <f>IF($A91="","",IFERROR(SUMIFS('Sales Log'!$E$4:$E$503,'Sales Log'!$C$4:$C$503,$A91),0))</f>
        <v/>
      </c>
      <c r="O91" s="16">
        <f>IF($A91="","",M91-N91)</f>
        <v/>
      </c>
      <c r="P91" s="18">
        <f>IF(J91&gt;0,(J91-H91)/J91,"")</f>
        <v/>
      </c>
      <c r="Q91" s="18">
        <f>IF(K91&gt;0,(K91-H91)/K91,"")</f>
        <v/>
      </c>
      <c r="R91" s="38">
        <f>IF($A91="","",J91-H91)</f>
        <v/>
      </c>
      <c r="S91" s="38">
        <f>IF($A91="","",O91*H91)</f>
        <v/>
      </c>
      <c r="T91" s="38">
        <f>IF($A91="","",O91*J91)</f>
        <v/>
      </c>
      <c r="U91" s="39" t="n"/>
      <c r="V91" s="34" t="n"/>
      <c r="W91" s="34" t="n"/>
      <c r="X91" s="34" t="n"/>
      <c r="Y91" s="34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1" t="n"/>
      <c r="I92" s="41" t="n"/>
      <c r="J92" s="41" t="n"/>
      <c r="K92" s="41" t="n"/>
      <c r="L92" s="41" t="n"/>
      <c r="M92" s="42" t="n"/>
      <c r="N92" s="43">
        <f>IF($A92="","",IFERROR(SUMIFS('Sales Log'!$E$4:$E$503,'Sales Log'!$C$4:$C$503,$A92),0))</f>
        <v/>
      </c>
      <c r="O92" s="12">
        <f>IF($A92="","",M92-N92)</f>
        <v/>
      </c>
      <c r="P92" s="14">
        <f>IF(J92&gt;0,(J92-H92)/J92,"")</f>
        <v/>
      </c>
      <c r="Q92" s="14">
        <f>IF(K92&gt;0,(K92-H92)/K92,"")</f>
        <v/>
      </c>
      <c r="R92" s="44">
        <f>IF($A92="","",J92-H92)</f>
        <v/>
      </c>
      <c r="S92" s="44">
        <f>IF($A92="","",O92*H92)</f>
        <v/>
      </c>
      <c r="T92" s="44">
        <f>IF($A92="","",O92*J92)</f>
        <v/>
      </c>
      <c r="U92" s="45" t="n"/>
      <c r="V92" s="40" t="n"/>
      <c r="W92" s="40" t="n"/>
      <c r="X92" s="40" t="n"/>
      <c r="Y92" s="40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5" t="n"/>
      <c r="I93" s="35" t="n"/>
      <c r="J93" s="35" t="n"/>
      <c r="K93" s="35" t="n"/>
      <c r="L93" s="35" t="n"/>
      <c r="M93" s="36" t="n"/>
      <c r="N93" s="37">
        <f>IF($A93="","",IFERROR(SUMIFS('Sales Log'!$E$4:$E$503,'Sales Log'!$C$4:$C$503,$A93),0))</f>
        <v/>
      </c>
      <c r="O93" s="16">
        <f>IF($A93="","",M93-N93)</f>
        <v/>
      </c>
      <c r="P93" s="18">
        <f>IF(J93&gt;0,(J93-H93)/J93,"")</f>
        <v/>
      </c>
      <c r="Q93" s="18">
        <f>IF(K93&gt;0,(K93-H93)/K93,"")</f>
        <v/>
      </c>
      <c r="R93" s="38">
        <f>IF($A93="","",J93-H93)</f>
        <v/>
      </c>
      <c r="S93" s="38">
        <f>IF($A93="","",O93*H93)</f>
        <v/>
      </c>
      <c r="T93" s="38">
        <f>IF($A93="","",O93*J93)</f>
        <v/>
      </c>
      <c r="U93" s="39" t="n"/>
      <c r="V93" s="34" t="n"/>
      <c r="W93" s="34" t="n"/>
      <c r="X93" s="34" t="n"/>
      <c r="Y93" s="34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1" t="n"/>
      <c r="I94" s="41" t="n"/>
      <c r="J94" s="41" t="n"/>
      <c r="K94" s="41" t="n"/>
      <c r="L94" s="41" t="n"/>
      <c r="M94" s="42" t="n"/>
      <c r="N94" s="43">
        <f>IF($A94="","",IFERROR(SUMIFS('Sales Log'!$E$4:$E$503,'Sales Log'!$C$4:$C$503,$A94),0))</f>
        <v/>
      </c>
      <c r="O94" s="12">
        <f>IF($A94="","",M94-N94)</f>
        <v/>
      </c>
      <c r="P94" s="14">
        <f>IF(J94&gt;0,(J94-H94)/J94,"")</f>
        <v/>
      </c>
      <c r="Q94" s="14">
        <f>IF(K94&gt;0,(K94-H94)/K94,"")</f>
        <v/>
      </c>
      <c r="R94" s="44">
        <f>IF($A94="","",J94-H94)</f>
        <v/>
      </c>
      <c r="S94" s="44">
        <f>IF($A94="","",O94*H94)</f>
        <v/>
      </c>
      <c r="T94" s="44">
        <f>IF($A94="","",O94*J94)</f>
        <v/>
      </c>
      <c r="U94" s="45" t="n"/>
      <c r="V94" s="40" t="n"/>
      <c r="W94" s="40" t="n"/>
      <c r="X94" s="40" t="n"/>
      <c r="Y94" s="40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5" t="n"/>
      <c r="I95" s="35" t="n"/>
      <c r="J95" s="35" t="n"/>
      <c r="K95" s="35" t="n"/>
      <c r="L95" s="35" t="n"/>
      <c r="M95" s="36" t="n"/>
      <c r="N95" s="37">
        <f>IF($A95="","",IFERROR(SUMIFS('Sales Log'!$E$4:$E$503,'Sales Log'!$C$4:$C$503,$A95),0))</f>
        <v/>
      </c>
      <c r="O95" s="16">
        <f>IF($A95="","",M95-N95)</f>
        <v/>
      </c>
      <c r="P95" s="18">
        <f>IF(J95&gt;0,(J95-H95)/J95,"")</f>
        <v/>
      </c>
      <c r="Q95" s="18">
        <f>IF(K95&gt;0,(K95-H95)/K95,"")</f>
        <v/>
      </c>
      <c r="R95" s="38">
        <f>IF($A95="","",J95-H95)</f>
        <v/>
      </c>
      <c r="S95" s="38">
        <f>IF($A95="","",O95*H95)</f>
        <v/>
      </c>
      <c r="T95" s="38">
        <f>IF($A95="","",O95*J95)</f>
        <v/>
      </c>
      <c r="U95" s="39" t="n"/>
      <c r="V95" s="34" t="n"/>
      <c r="W95" s="34" t="n"/>
      <c r="X95" s="34" t="n"/>
      <c r="Y95" s="34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1" t="n"/>
      <c r="I96" s="41" t="n"/>
      <c r="J96" s="41" t="n"/>
      <c r="K96" s="41" t="n"/>
      <c r="L96" s="41" t="n"/>
      <c r="M96" s="42" t="n"/>
      <c r="N96" s="43">
        <f>IF($A96="","",IFERROR(SUMIFS('Sales Log'!$E$4:$E$503,'Sales Log'!$C$4:$C$503,$A96),0))</f>
        <v/>
      </c>
      <c r="O96" s="12">
        <f>IF($A96="","",M96-N96)</f>
        <v/>
      </c>
      <c r="P96" s="14">
        <f>IF(J96&gt;0,(J96-H96)/J96,"")</f>
        <v/>
      </c>
      <c r="Q96" s="14">
        <f>IF(K96&gt;0,(K96-H96)/K96,"")</f>
        <v/>
      </c>
      <c r="R96" s="44">
        <f>IF($A96="","",J96-H96)</f>
        <v/>
      </c>
      <c r="S96" s="44">
        <f>IF($A96="","",O96*H96)</f>
        <v/>
      </c>
      <c r="T96" s="44">
        <f>IF($A96="","",O96*J96)</f>
        <v/>
      </c>
      <c r="U96" s="45" t="n"/>
      <c r="V96" s="40" t="n"/>
      <c r="W96" s="40" t="n"/>
      <c r="X96" s="40" t="n"/>
      <c r="Y96" s="40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5" t="n"/>
      <c r="I97" s="35" t="n"/>
      <c r="J97" s="35" t="n"/>
      <c r="K97" s="35" t="n"/>
      <c r="L97" s="35" t="n"/>
      <c r="M97" s="36" t="n"/>
      <c r="N97" s="37">
        <f>IF($A97="","",IFERROR(SUMIFS('Sales Log'!$E$4:$E$503,'Sales Log'!$C$4:$C$503,$A97),0))</f>
        <v/>
      </c>
      <c r="O97" s="16">
        <f>IF($A97="","",M97-N97)</f>
        <v/>
      </c>
      <c r="P97" s="18">
        <f>IF(J97&gt;0,(J97-H97)/J97,"")</f>
        <v/>
      </c>
      <c r="Q97" s="18">
        <f>IF(K97&gt;0,(K97-H97)/K97,"")</f>
        <v/>
      </c>
      <c r="R97" s="38">
        <f>IF($A97="","",J97-H97)</f>
        <v/>
      </c>
      <c r="S97" s="38">
        <f>IF($A97="","",O97*H97)</f>
        <v/>
      </c>
      <c r="T97" s="38">
        <f>IF($A97="","",O97*J97)</f>
        <v/>
      </c>
      <c r="U97" s="39" t="n"/>
      <c r="V97" s="34" t="n"/>
      <c r="W97" s="34" t="n"/>
      <c r="X97" s="34" t="n"/>
      <c r="Y97" s="34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1" t="n"/>
      <c r="I98" s="41" t="n"/>
      <c r="J98" s="41" t="n"/>
      <c r="K98" s="41" t="n"/>
      <c r="L98" s="41" t="n"/>
      <c r="M98" s="42" t="n"/>
      <c r="N98" s="43">
        <f>IF($A98="","",IFERROR(SUMIFS('Sales Log'!$E$4:$E$503,'Sales Log'!$C$4:$C$503,$A98),0))</f>
        <v/>
      </c>
      <c r="O98" s="12">
        <f>IF($A98="","",M98-N98)</f>
        <v/>
      </c>
      <c r="P98" s="14">
        <f>IF(J98&gt;0,(J98-H98)/J98,"")</f>
        <v/>
      </c>
      <c r="Q98" s="14">
        <f>IF(K98&gt;0,(K98-H98)/K98,"")</f>
        <v/>
      </c>
      <c r="R98" s="44">
        <f>IF($A98="","",J98-H98)</f>
        <v/>
      </c>
      <c r="S98" s="44">
        <f>IF($A98="","",O98*H98)</f>
        <v/>
      </c>
      <c r="T98" s="44">
        <f>IF($A98="","",O98*J98)</f>
        <v/>
      </c>
      <c r="U98" s="45" t="n"/>
      <c r="V98" s="40" t="n"/>
      <c r="W98" s="40" t="n"/>
      <c r="X98" s="40" t="n"/>
      <c r="Y98" s="40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5" t="n"/>
      <c r="I99" s="35" t="n"/>
      <c r="J99" s="35" t="n"/>
      <c r="K99" s="35" t="n"/>
      <c r="L99" s="35" t="n"/>
      <c r="M99" s="36" t="n"/>
      <c r="N99" s="37">
        <f>IF($A99="","",IFERROR(SUMIFS('Sales Log'!$E$4:$E$503,'Sales Log'!$C$4:$C$503,$A99),0))</f>
        <v/>
      </c>
      <c r="O99" s="16">
        <f>IF($A99="","",M99-N99)</f>
        <v/>
      </c>
      <c r="P99" s="18">
        <f>IF(J99&gt;0,(J99-H99)/J99,"")</f>
        <v/>
      </c>
      <c r="Q99" s="18">
        <f>IF(K99&gt;0,(K99-H99)/K99,"")</f>
        <v/>
      </c>
      <c r="R99" s="38">
        <f>IF($A99="","",J99-H99)</f>
        <v/>
      </c>
      <c r="S99" s="38">
        <f>IF($A99="","",O99*H99)</f>
        <v/>
      </c>
      <c r="T99" s="38">
        <f>IF($A99="","",O99*J99)</f>
        <v/>
      </c>
      <c r="U99" s="39" t="n"/>
      <c r="V99" s="34" t="n"/>
      <c r="W99" s="34" t="n"/>
      <c r="X99" s="34" t="n"/>
      <c r="Y99" s="34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1" t="n"/>
      <c r="I100" s="41" t="n"/>
      <c r="J100" s="41" t="n"/>
      <c r="K100" s="41" t="n"/>
      <c r="L100" s="41" t="n"/>
      <c r="M100" s="42" t="n"/>
      <c r="N100" s="43">
        <f>IF($A100="","",IFERROR(SUMIFS('Sales Log'!$E$4:$E$503,'Sales Log'!$C$4:$C$503,$A100),0))</f>
        <v/>
      </c>
      <c r="O100" s="12">
        <f>IF($A100="","",M100-N100)</f>
        <v/>
      </c>
      <c r="P100" s="14">
        <f>IF(J100&gt;0,(J100-H100)/J100,"")</f>
        <v/>
      </c>
      <c r="Q100" s="14">
        <f>IF(K100&gt;0,(K100-H100)/K100,"")</f>
        <v/>
      </c>
      <c r="R100" s="44">
        <f>IF($A100="","",J100-H100)</f>
        <v/>
      </c>
      <c r="S100" s="44">
        <f>IF($A100="","",O100*H100)</f>
        <v/>
      </c>
      <c r="T100" s="44">
        <f>IF($A100="","",O100*J100)</f>
        <v/>
      </c>
      <c r="U100" s="45" t="n"/>
      <c r="V100" s="40" t="n"/>
      <c r="W100" s="40" t="n"/>
      <c r="X100" s="40" t="n"/>
      <c r="Y100" s="40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5" t="n"/>
      <c r="I101" s="35" t="n"/>
      <c r="J101" s="35" t="n"/>
      <c r="K101" s="35" t="n"/>
      <c r="L101" s="35" t="n"/>
      <c r="M101" s="36" t="n"/>
      <c r="N101" s="37">
        <f>IF($A101="","",IFERROR(SUMIFS('Sales Log'!$E$4:$E$503,'Sales Log'!$C$4:$C$503,$A101),0))</f>
        <v/>
      </c>
      <c r="O101" s="16">
        <f>IF($A101="","",M101-N101)</f>
        <v/>
      </c>
      <c r="P101" s="18">
        <f>IF(J101&gt;0,(J101-H101)/J101,"")</f>
        <v/>
      </c>
      <c r="Q101" s="18">
        <f>IF(K101&gt;0,(K101-H101)/K101,"")</f>
        <v/>
      </c>
      <c r="R101" s="38">
        <f>IF($A101="","",J101-H101)</f>
        <v/>
      </c>
      <c r="S101" s="38">
        <f>IF($A101="","",O101*H101)</f>
        <v/>
      </c>
      <c r="T101" s="38">
        <f>IF($A101="","",O101*J101)</f>
        <v/>
      </c>
      <c r="U101" s="39" t="n"/>
      <c r="V101" s="34" t="n"/>
      <c r="W101" s="34" t="n"/>
      <c r="X101" s="34" t="n"/>
      <c r="Y101" s="34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1" t="n"/>
      <c r="I102" s="41" t="n"/>
      <c r="J102" s="41" t="n"/>
      <c r="K102" s="41" t="n"/>
      <c r="L102" s="41" t="n"/>
      <c r="M102" s="42" t="n"/>
      <c r="N102" s="43">
        <f>IF($A102="","",IFERROR(SUMIFS('Sales Log'!$E$4:$E$503,'Sales Log'!$C$4:$C$503,$A102),0))</f>
        <v/>
      </c>
      <c r="O102" s="12">
        <f>IF($A102="","",M102-N102)</f>
        <v/>
      </c>
      <c r="P102" s="14">
        <f>IF(J102&gt;0,(J102-H102)/J102,"")</f>
        <v/>
      </c>
      <c r="Q102" s="14">
        <f>IF(K102&gt;0,(K102-H102)/K102,"")</f>
        <v/>
      </c>
      <c r="R102" s="44">
        <f>IF($A102="","",J102-H102)</f>
        <v/>
      </c>
      <c r="S102" s="44">
        <f>IF($A102="","",O102*H102)</f>
        <v/>
      </c>
      <c r="T102" s="44">
        <f>IF($A102="","",O102*J102)</f>
        <v/>
      </c>
      <c r="U102" s="45" t="n"/>
      <c r="V102" s="40" t="n"/>
      <c r="W102" s="40" t="n"/>
      <c r="X102" s="40" t="n"/>
      <c r="Y102" s="40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5" t="n"/>
      <c r="I103" s="35" t="n"/>
      <c r="J103" s="35" t="n"/>
      <c r="K103" s="35" t="n"/>
      <c r="L103" s="35" t="n"/>
      <c r="M103" s="36" t="n"/>
      <c r="N103" s="37">
        <f>IF($A103="","",IFERROR(SUMIFS('Sales Log'!$E$4:$E$503,'Sales Log'!$C$4:$C$503,$A103),0))</f>
        <v/>
      </c>
      <c r="O103" s="16">
        <f>IF($A103="","",M103-N103)</f>
        <v/>
      </c>
      <c r="P103" s="18">
        <f>IF(J103&gt;0,(J103-H103)/J103,"")</f>
        <v/>
      </c>
      <c r="Q103" s="18">
        <f>IF(K103&gt;0,(K103-H103)/K103,"")</f>
        <v/>
      </c>
      <c r="R103" s="38">
        <f>IF($A103="","",J103-H103)</f>
        <v/>
      </c>
      <c r="S103" s="38">
        <f>IF($A103="","",O103*H103)</f>
        <v/>
      </c>
      <c r="T103" s="38">
        <f>IF($A103="","",O103*J103)</f>
        <v/>
      </c>
      <c r="U103" s="39" t="n"/>
      <c r="V103" s="34" t="n"/>
      <c r="W103" s="34" t="n"/>
      <c r="X103" s="34" t="n"/>
      <c r="Y103" s="34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1" t="n"/>
      <c r="I104" s="41" t="n"/>
      <c r="J104" s="41" t="n"/>
      <c r="K104" s="41" t="n"/>
      <c r="L104" s="41" t="n"/>
      <c r="M104" s="42" t="n"/>
      <c r="N104" s="43">
        <f>IF($A104="","",IFERROR(SUMIFS('Sales Log'!$E$4:$E$503,'Sales Log'!$C$4:$C$503,$A104),0))</f>
        <v/>
      </c>
      <c r="O104" s="12">
        <f>IF($A104="","",M104-N104)</f>
        <v/>
      </c>
      <c r="P104" s="14">
        <f>IF(J104&gt;0,(J104-H104)/J104,"")</f>
        <v/>
      </c>
      <c r="Q104" s="14">
        <f>IF(K104&gt;0,(K104-H104)/K104,"")</f>
        <v/>
      </c>
      <c r="R104" s="44">
        <f>IF($A104="","",J104-H104)</f>
        <v/>
      </c>
      <c r="S104" s="44">
        <f>IF($A104="","",O104*H104)</f>
        <v/>
      </c>
      <c r="T104" s="44">
        <f>IF($A104="","",O104*J104)</f>
        <v/>
      </c>
      <c r="U104" s="45" t="n"/>
      <c r="V104" s="40" t="n"/>
      <c r="W104" s="40" t="n"/>
      <c r="X104" s="40" t="n"/>
      <c r="Y104" s="40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5" t="n"/>
      <c r="I105" s="35" t="n"/>
      <c r="J105" s="35" t="n"/>
      <c r="K105" s="35" t="n"/>
      <c r="L105" s="35" t="n"/>
      <c r="M105" s="36" t="n"/>
      <c r="N105" s="37">
        <f>IF($A105="","",IFERROR(SUMIFS('Sales Log'!$E$4:$E$503,'Sales Log'!$C$4:$C$503,$A105),0))</f>
        <v/>
      </c>
      <c r="O105" s="16">
        <f>IF($A105="","",M105-N105)</f>
        <v/>
      </c>
      <c r="P105" s="18">
        <f>IF(J105&gt;0,(J105-H105)/J105,"")</f>
        <v/>
      </c>
      <c r="Q105" s="18">
        <f>IF(K105&gt;0,(K105-H105)/K105,"")</f>
        <v/>
      </c>
      <c r="R105" s="38">
        <f>IF($A105="","",J105-H105)</f>
        <v/>
      </c>
      <c r="S105" s="38">
        <f>IF($A105="","",O105*H105)</f>
        <v/>
      </c>
      <c r="T105" s="38">
        <f>IF($A105="","",O105*J105)</f>
        <v/>
      </c>
      <c r="U105" s="39" t="n"/>
      <c r="V105" s="34" t="n"/>
      <c r="W105" s="34" t="n"/>
      <c r="X105" s="34" t="n"/>
      <c r="Y105" s="34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1" t="n"/>
      <c r="I106" s="41" t="n"/>
      <c r="J106" s="41" t="n"/>
      <c r="K106" s="41" t="n"/>
      <c r="L106" s="41" t="n"/>
      <c r="M106" s="42" t="n"/>
      <c r="N106" s="43">
        <f>IF($A106="","",IFERROR(SUMIFS('Sales Log'!$E$4:$E$503,'Sales Log'!$C$4:$C$503,$A106),0))</f>
        <v/>
      </c>
      <c r="O106" s="12">
        <f>IF($A106="","",M106-N106)</f>
        <v/>
      </c>
      <c r="P106" s="14">
        <f>IF(J106&gt;0,(J106-H106)/J106,"")</f>
        <v/>
      </c>
      <c r="Q106" s="14">
        <f>IF(K106&gt;0,(K106-H106)/K106,"")</f>
        <v/>
      </c>
      <c r="R106" s="44">
        <f>IF($A106="","",J106-H106)</f>
        <v/>
      </c>
      <c r="S106" s="44">
        <f>IF($A106="","",O106*H106)</f>
        <v/>
      </c>
      <c r="T106" s="44">
        <f>IF($A106="","",O106*J106)</f>
        <v/>
      </c>
      <c r="U106" s="45" t="n"/>
      <c r="V106" s="40" t="n"/>
      <c r="W106" s="40" t="n"/>
      <c r="X106" s="40" t="n"/>
      <c r="Y106" s="40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5" t="n"/>
      <c r="I107" s="35" t="n"/>
      <c r="J107" s="35" t="n"/>
      <c r="K107" s="35" t="n"/>
      <c r="L107" s="35" t="n"/>
      <c r="M107" s="36" t="n"/>
      <c r="N107" s="37">
        <f>IF($A107="","",IFERROR(SUMIFS('Sales Log'!$E$4:$E$503,'Sales Log'!$C$4:$C$503,$A107),0))</f>
        <v/>
      </c>
      <c r="O107" s="16">
        <f>IF($A107="","",M107-N107)</f>
        <v/>
      </c>
      <c r="P107" s="18">
        <f>IF(J107&gt;0,(J107-H107)/J107,"")</f>
        <v/>
      </c>
      <c r="Q107" s="18">
        <f>IF(K107&gt;0,(K107-H107)/K107,"")</f>
        <v/>
      </c>
      <c r="R107" s="38">
        <f>IF($A107="","",J107-H107)</f>
        <v/>
      </c>
      <c r="S107" s="38">
        <f>IF($A107="","",O107*H107)</f>
        <v/>
      </c>
      <c r="T107" s="38">
        <f>IF($A107="","",O107*J107)</f>
        <v/>
      </c>
      <c r="U107" s="39" t="n"/>
      <c r="V107" s="34" t="n"/>
      <c r="W107" s="34" t="n"/>
      <c r="X107" s="34" t="n"/>
      <c r="Y107" s="34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1" t="n"/>
      <c r="I108" s="41" t="n"/>
      <c r="J108" s="41" t="n"/>
      <c r="K108" s="41" t="n"/>
      <c r="L108" s="41" t="n"/>
      <c r="M108" s="42" t="n"/>
      <c r="N108" s="43">
        <f>IF($A108="","",IFERROR(SUMIFS('Sales Log'!$E$4:$E$503,'Sales Log'!$C$4:$C$503,$A108),0))</f>
        <v/>
      </c>
      <c r="O108" s="12">
        <f>IF($A108="","",M108-N108)</f>
        <v/>
      </c>
      <c r="P108" s="14">
        <f>IF(J108&gt;0,(J108-H108)/J108,"")</f>
        <v/>
      </c>
      <c r="Q108" s="14">
        <f>IF(K108&gt;0,(K108-H108)/K108,"")</f>
        <v/>
      </c>
      <c r="R108" s="44">
        <f>IF($A108="","",J108-H108)</f>
        <v/>
      </c>
      <c r="S108" s="44">
        <f>IF($A108="","",O108*H108)</f>
        <v/>
      </c>
      <c r="T108" s="44">
        <f>IF($A108="","",O108*J108)</f>
        <v/>
      </c>
      <c r="U108" s="45" t="n"/>
      <c r="V108" s="40" t="n"/>
      <c r="W108" s="40" t="n"/>
      <c r="X108" s="40" t="n"/>
      <c r="Y108" s="40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5" t="n"/>
      <c r="I109" s="35" t="n"/>
      <c r="J109" s="35" t="n"/>
      <c r="K109" s="35" t="n"/>
      <c r="L109" s="35" t="n"/>
      <c r="M109" s="36" t="n"/>
      <c r="N109" s="37">
        <f>IF($A109="","",IFERROR(SUMIFS('Sales Log'!$E$4:$E$503,'Sales Log'!$C$4:$C$503,$A109),0))</f>
        <v/>
      </c>
      <c r="O109" s="16">
        <f>IF($A109="","",M109-N109)</f>
        <v/>
      </c>
      <c r="P109" s="18">
        <f>IF(J109&gt;0,(J109-H109)/J109,"")</f>
        <v/>
      </c>
      <c r="Q109" s="18">
        <f>IF(K109&gt;0,(K109-H109)/K109,"")</f>
        <v/>
      </c>
      <c r="R109" s="38">
        <f>IF($A109="","",J109-H109)</f>
        <v/>
      </c>
      <c r="S109" s="38">
        <f>IF($A109="","",O109*H109)</f>
        <v/>
      </c>
      <c r="T109" s="38">
        <f>IF($A109="","",O109*J109)</f>
        <v/>
      </c>
      <c r="U109" s="39" t="n"/>
      <c r="V109" s="34" t="n"/>
      <c r="W109" s="34" t="n"/>
      <c r="X109" s="34" t="n"/>
      <c r="Y109" s="34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1" t="n"/>
      <c r="I110" s="41" t="n"/>
      <c r="J110" s="41" t="n"/>
      <c r="K110" s="41" t="n"/>
      <c r="L110" s="41" t="n"/>
      <c r="M110" s="42" t="n"/>
      <c r="N110" s="43">
        <f>IF($A110="","",IFERROR(SUMIFS('Sales Log'!$E$4:$E$503,'Sales Log'!$C$4:$C$503,$A110),0))</f>
        <v/>
      </c>
      <c r="O110" s="12">
        <f>IF($A110="","",M110-N110)</f>
        <v/>
      </c>
      <c r="P110" s="14">
        <f>IF(J110&gt;0,(J110-H110)/J110,"")</f>
        <v/>
      </c>
      <c r="Q110" s="14">
        <f>IF(K110&gt;0,(K110-H110)/K110,"")</f>
        <v/>
      </c>
      <c r="R110" s="44">
        <f>IF($A110="","",J110-H110)</f>
        <v/>
      </c>
      <c r="S110" s="44">
        <f>IF($A110="","",O110*H110)</f>
        <v/>
      </c>
      <c r="T110" s="44">
        <f>IF($A110="","",O110*J110)</f>
        <v/>
      </c>
      <c r="U110" s="45" t="n"/>
      <c r="V110" s="40" t="n"/>
      <c r="W110" s="40" t="n"/>
      <c r="X110" s="40" t="n"/>
      <c r="Y110" s="40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5" t="n"/>
      <c r="I111" s="35" t="n"/>
      <c r="J111" s="35" t="n"/>
      <c r="K111" s="35" t="n"/>
      <c r="L111" s="35" t="n"/>
      <c r="M111" s="36" t="n"/>
      <c r="N111" s="37">
        <f>IF($A111="","",IFERROR(SUMIFS('Sales Log'!$E$4:$E$503,'Sales Log'!$C$4:$C$503,$A111),0))</f>
        <v/>
      </c>
      <c r="O111" s="16">
        <f>IF($A111="","",M111-N111)</f>
        <v/>
      </c>
      <c r="P111" s="18">
        <f>IF(J111&gt;0,(J111-H111)/J111,"")</f>
        <v/>
      </c>
      <c r="Q111" s="18">
        <f>IF(K111&gt;0,(K111-H111)/K111,"")</f>
        <v/>
      </c>
      <c r="R111" s="38">
        <f>IF($A111="","",J111-H111)</f>
        <v/>
      </c>
      <c r="S111" s="38">
        <f>IF($A111="","",O111*H111)</f>
        <v/>
      </c>
      <c r="T111" s="38">
        <f>IF($A111="","",O111*J111)</f>
        <v/>
      </c>
      <c r="U111" s="39" t="n"/>
      <c r="V111" s="34" t="n"/>
      <c r="W111" s="34" t="n"/>
      <c r="X111" s="34" t="n"/>
      <c r="Y111" s="34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1" t="n"/>
      <c r="I112" s="41" t="n"/>
      <c r="J112" s="41" t="n"/>
      <c r="K112" s="41" t="n"/>
      <c r="L112" s="41" t="n"/>
      <c r="M112" s="42" t="n"/>
      <c r="N112" s="43">
        <f>IF($A112="","",IFERROR(SUMIFS('Sales Log'!$E$4:$E$503,'Sales Log'!$C$4:$C$503,$A112),0))</f>
        <v/>
      </c>
      <c r="O112" s="12">
        <f>IF($A112="","",M112-N112)</f>
        <v/>
      </c>
      <c r="P112" s="14">
        <f>IF(J112&gt;0,(J112-H112)/J112,"")</f>
        <v/>
      </c>
      <c r="Q112" s="14">
        <f>IF(K112&gt;0,(K112-H112)/K112,"")</f>
        <v/>
      </c>
      <c r="R112" s="44">
        <f>IF($A112="","",J112-H112)</f>
        <v/>
      </c>
      <c r="S112" s="44">
        <f>IF($A112="","",O112*H112)</f>
        <v/>
      </c>
      <c r="T112" s="44">
        <f>IF($A112="","",O112*J112)</f>
        <v/>
      </c>
      <c r="U112" s="45" t="n"/>
      <c r="V112" s="40" t="n"/>
      <c r="W112" s="40" t="n"/>
      <c r="X112" s="40" t="n"/>
      <c r="Y112" s="40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5" t="n"/>
      <c r="I113" s="35" t="n"/>
      <c r="J113" s="35" t="n"/>
      <c r="K113" s="35" t="n"/>
      <c r="L113" s="35" t="n"/>
      <c r="M113" s="36" t="n"/>
      <c r="N113" s="37">
        <f>IF($A113="","",IFERROR(SUMIFS('Sales Log'!$E$4:$E$503,'Sales Log'!$C$4:$C$503,$A113),0))</f>
        <v/>
      </c>
      <c r="O113" s="16">
        <f>IF($A113="","",M113-N113)</f>
        <v/>
      </c>
      <c r="P113" s="18">
        <f>IF(J113&gt;0,(J113-H113)/J113,"")</f>
        <v/>
      </c>
      <c r="Q113" s="18">
        <f>IF(K113&gt;0,(K113-H113)/K113,"")</f>
        <v/>
      </c>
      <c r="R113" s="38">
        <f>IF($A113="","",J113-H113)</f>
        <v/>
      </c>
      <c r="S113" s="38">
        <f>IF($A113="","",O113*H113)</f>
        <v/>
      </c>
      <c r="T113" s="38">
        <f>IF($A113="","",O113*J113)</f>
        <v/>
      </c>
      <c r="U113" s="39" t="n"/>
      <c r="V113" s="34" t="n"/>
      <c r="W113" s="34" t="n"/>
      <c r="X113" s="34" t="n"/>
      <c r="Y113" s="34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1" t="n"/>
      <c r="I114" s="41" t="n"/>
      <c r="J114" s="41" t="n"/>
      <c r="K114" s="41" t="n"/>
      <c r="L114" s="41" t="n"/>
      <c r="M114" s="42" t="n"/>
      <c r="N114" s="43">
        <f>IF($A114="","",IFERROR(SUMIFS('Sales Log'!$E$4:$E$503,'Sales Log'!$C$4:$C$503,$A114),0))</f>
        <v/>
      </c>
      <c r="O114" s="12">
        <f>IF($A114="","",M114-N114)</f>
        <v/>
      </c>
      <c r="P114" s="14">
        <f>IF(J114&gt;0,(J114-H114)/J114,"")</f>
        <v/>
      </c>
      <c r="Q114" s="14">
        <f>IF(K114&gt;0,(K114-H114)/K114,"")</f>
        <v/>
      </c>
      <c r="R114" s="44">
        <f>IF($A114="","",J114-H114)</f>
        <v/>
      </c>
      <c r="S114" s="44">
        <f>IF($A114="","",O114*H114)</f>
        <v/>
      </c>
      <c r="T114" s="44">
        <f>IF($A114="","",O114*J114)</f>
        <v/>
      </c>
      <c r="U114" s="45" t="n"/>
      <c r="V114" s="40" t="n"/>
      <c r="W114" s="40" t="n"/>
      <c r="X114" s="40" t="n"/>
      <c r="Y114" s="40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5" t="n"/>
      <c r="I115" s="35" t="n"/>
      <c r="J115" s="35" t="n"/>
      <c r="K115" s="35" t="n"/>
      <c r="L115" s="35" t="n"/>
      <c r="M115" s="36" t="n"/>
      <c r="N115" s="37">
        <f>IF($A115="","",IFERROR(SUMIFS('Sales Log'!$E$4:$E$503,'Sales Log'!$C$4:$C$503,$A115),0))</f>
        <v/>
      </c>
      <c r="O115" s="16">
        <f>IF($A115="","",M115-N115)</f>
        <v/>
      </c>
      <c r="P115" s="18">
        <f>IF(J115&gt;0,(J115-H115)/J115,"")</f>
        <v/>
      </c>
      <c r="Q115" s="18">
        <f>IF(K115&gt;0,(K115-H115)/K115,"")</f>
        <v/>
      </c>
      <c r="R115" s="38">
        <f>IF($A115="","",J115-H115)</f>
        <v/>
      </c>
      <c r="S115" s="38">
        <f>IF($A115="","",O115*H115)</f>
        <v/>
      </c>
      <c r="T115" s="38">
        <f>IF($A115="","",O115*J115)</f>
        <v/>
      </c>
      <c r="U115" s="39" t="n"/>
      <c r="V115" s="34" t="n"/>
      <c r="W115" s="34" t="n"/>
      <c r="X115" s="34" t="n"/>
      <c r="Y115" s="34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1" t="n"/>
      <c r="I116" s="41" t="n"/>
      <c r="J116" s="41" t="n"/>
      <c r="K116" s="41" t="n"/>
      <c r="L116" s="41" t="n"/>
      <c r="M116" s="42" t="n"/>
      <c r="N116" s="43">
        <f>IF($A116="","",IFERROR(SUMIFS('Sales Log'!$E$4:$E$503,'Sales Log'!$C$4:$C$503,$A116),0))</f>
        <v/>
      </c>
      <c r="O116" s="12">
        <f>IF($A116="","",M116-N116)</f>
        <v/>
      </c>
      <c r="P116" s="14">
        <f>IF(J116&gt;0,(J116-H116)/J116,"")</f>
        <v/>
      </c>
      <c r="Q116" s="14">
        <f>IF(K116&gt;0,(K116-H116)/K116,"")</f>
        <v/>
      </c>
      <c r="R116" s="44">
        <f>IF($A116="","",J116-H116)</f>
        <v/>
      </c>
      <c r="S116" s="44">
        <f>IF($A116="","",O116*H116)</f>
        <v/>
      </c>
      <c r="T116" s="44">
        <f>IF($A116="","",O116*J116)</f>
        <v/>
      </c>
      <c r="U116" s="45" t="n"/>
      <c r="V116" s="40" t="n"/>
      <c r="W116" s="40" t="n"/>
      <c r="X116" s="40" t="n"/>
      <c r="Y116" s="40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5" t="n"/>
      <c r="I117" s="35" t="n"/>
      <c r="J117" s="35" t="n"/>
      <c r="K117" s="35" t="n"/>
      <c r="L117" s="35" t="n"/>
      <c r="M117" s="36" t="n"/>
      <c r="N117" s="37">
        <f>IF($A117="","",IFERROR(SUMIFS('Sales Log'!$E$4:$E$503,'Sales Log'!$C$4:$C$503,$A117),0))</f>
        <v/>
      </c>
      <c r="O117" s="16">
        <f>IF($A117="","",M117-N117)</f>
        <v/>
      </c>
      <c r="P117" s="18">
        <f>IF(J117&gt;0,(J117-H117)/J117,"")</f>
        <v/>
      </c>
      <c r="Q117" s="18">
        <f>IF(K117&gt;0,(K117-H117)/K117,"")</f>
        <v/>
      </c>
      <c r="R117" s="38">
        <f>IF($A117="","",J117-H117)</f>
        <v/>
      </c>
      <c r="S117" s="38">
        <f>IF($A117="","",O117*H117)</f>
        <v/>
      </c>
      <c r="T117" s="38">
        <f>IF($A117="","",O117*J117)</f>
        <v/>
      </c>
      <c r="U117" s="39" t="n"/>
      <c r="V117" s="34" t="n"/>
      <c r="W117" s="34" t="n"/>
      <c r="X117" s="34" t="n"/>
      <c r="Y117" s="34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1" t="n"/>
      <c r="I118" s="41" t="n"/>
      <c r="J118" s="41" t="n"/>
      <c r="K118" s="41" t="n"/>
      <c r="L118" s="41" t="n"/>
      <c r="M118" s="42" t="n"/>
      <c r="N118" s="43">
        <f>IF($A118="","",IFERROR(SUMIFS('Sales Log'!$E$4:$E$503,'Sales Log'!$C$4:$C$503,$A118),0))</f>
        <v/>
      </c>
      <c r="O118" s="12">
        <f>IF($A118="","",M118-N118)</f>
        <v/>
      </c>
      <c r="P118" s="14">
        <f>IF(J118&gt;0,(J118-H118)/J118,"")</f>
        <v/>
      </c>
      <c r="Q118" s="14">
        <f>IF(K118&gt;0,(K118-H118)/K118,"")</f>
        <v/>
      </c>
      <c r="R118" s="44">
        <f>IF($A118="","",J118-H118)</f>
        <v/>
      </c>
      <c r="S118" s="44">
        <f>IF($A118="","",O118*H118)</f>
        <v/>
      </c>
      <c r="T118" s="44">
        <f>IF($A118="","",O118*J118)</f>
        <v/>
      </c>
      <c r="U118" s="45" t="n"/>
      <c r="V118" s="40" t="n"/>
      <c r="W118" s="40" t="n"/>
      <c r="X118" s="40" t="n"/>
      <c r="Y118" s="40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5" t="n"/>
      <c r="I119" s="35" t="n"/>
      <c r="J119" s="35" t="n"/>
      <c r="K119" s="35" t="n"/>
      <c r="L119" s="35" t="n"/>
      <c r="M119" s="36" t="n"/>
      <c r="N119" s="37">
        <f>IF($A119="","",IFERROR(SUMIFS('Sales Log'!$E$4:$E$503,'Sales Log'!$C$4:$C$503,$A119),0))</f>
        <v/>
      </c>
      <c r="O119" s="16">
        <f>IF($A119="","",M119-N119)</f>
        <v/>
      </c>
      <c r="P119" s="18">
        <f>IF(J119&gt;0,(J119-H119)/J119,"")</f>
        <v/>
      </c>
      <c r="Q119" s="18">
        <f>IF(K119&gt;0,(K119-H119)/K119,"")</f>
        <v/>
      </c>
      <c r="R119" s="38">
        <f>IF($A119="","",J119-H119)</f>
        <v/>
      </c>
      <c r="S119" s="38">
        <f>IF($A119="","",O119*H119)</f>
        <v/>
      </c>
      <c r="T119" s="38">
        <f>IF($A119="","",O119*J119)</f>
        <v/>
      </c>
      <c r="U119" s="39" t="n"/>
      <c r="V119" s="34" t="n"/>
      <c r="W119" s="34" t="n"/>
      <c r="X119" s="34" t="n"/>
      <c r="Y119" s="34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1" t="n"/>
      <c r="I120" s="41" t="n"/>
      <c r="J120" s="41" t="n"/>
      <c r="K120" s="41" t="n"/>
      <c r="L120" s="41" t="n"/>
      <c r="M120" s="42" t="n"/>
      <c r="N120" s="43">
        <f>IF($A120="","",IFERROR(SUMIFS('Sales Log'!$E$4:$E$503,'Sales Log'!$C$4:$C$503,$A120),0))</f>
        <v/>
      </c>
      <c r="O120" s="12">
        <f>IF($A120="","",M120-N120)</f>
        <v/>
      </c>
      <c r="P120" s="14">
        <f>IF(J120&gt;0,(J120-H120)/J120,"")</f>
        <v/>
      </c>
      <c r="Q120" s="14">
        <f>IF(K120&gt;0,(K120-H120)/K120,"")</f>
        <v/>
      </c>
      <c r="R120" s="44">
        <f>IF($A120="","",J120-H120)</f>
        <v/>
      </c>
      <c r="S120" s="44">
        <f>IF($A120="","",O120*H120)</f>
        <v/>
      </c>
      <c r="T120" s="44">
        <f>IF($A120="","",O120*J120)</f>
        <v/>
      </c>
      <c r="U120" s="45" t="n"/>
      <c r="V120" s="40" t="n"/>
      <c r="W120" s="40" t="n"/>
      <c r="X120" s="40" t="n"/>
      <c r="Y120" s="40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5" t="n"/>
      <c r="I121" s="35" t="n"/>
      <c r="J121" s="35" t="n"/>
      <c r="K121" s="35" t="n"/>
      <c r="L121" s="35" t="n"/>
      <c r="M121" s="36" t="n"/>
      <c r="N121" s="37">
        <f>IF($A121="","",IFERROR(SUMIFS('Sales Log'!$E$4:$E$503,'Sales Log'!$C$4:$C$503,$A121),0))</f>
        <v/>
      </c>
      <c r="O121" s="16">
        <f>IF($A121="","",M121-N121)</f>
        <v/>
      </c>
      <c r="P121" s="18">
        <f>IF(J121&gt;0,(J121-H121)/J121,"")</f>
        <v/>
      </c>
      <c r="Q121" s="18">
        <f>IF(K121&gt;0,(K121-H121)/K121,"")</f>
        <v/>
      </c>
      <c r="R121" s="38">
        <f>IF($A121="","",J121-H121)</f>
        <v/>
      </c>
      <c r="S121" s="38">
        <f>IF($A121="","",O121*H121)</f>
        <v/>
      </c>
      <c r="T121" s="38">
        <f>IF($A121="","",O121*J121)</f>
        <v/>
      </c>
      <c r="U121" s="39" t="n"/>
      <c r="V121" s="34" t="n"/>
      <c r="W121" s="34" t="n"/>
      <c r="X121" s="34" t="n"/>
      <c r="Y121" s="34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1" t="n"/>
      <c r="I122" s="41" t="n"/>
      <c r="J122" s="41" t="n"/>
      <c r="K122" s="41" t="n"/>
      <c r="L122" s="41" t="n"/>
      <c r="M122" s="42" t="n"/>
      <c r="N122" s="43">
        <f>IF($A122="","",IFERROR(SUMIFS('Sales Log'!$E$4:$E$503,'Sales Log'!$C$4:$C$503,$A122),0))</f>
        <v/>
      </c>
      <c r="O122" s="12">
        <f>IF($A122="","",M122-N122)</f>
        <v/>
      </c>
      <c r="P122" s="14">
        <f>IF(J122&gt;0,(J122-H122)/J122,"")</f>
        <v/>
      </c>
      <c r="Q122" s="14">
        <f>IF(K122&gt;0,(K122-H122)/K122,"")</f>
        <v/>
      </c>
      <c r="R122" s="44">
        <f>IF($A122="","",J122-H122)</f>
        <v/>
      </c>
      <c r="S122" s="44">
        <f>IF($A122="","",O122*H122)</f>
        <v/>
      </c>
      <c r="T122" s="44">
        <f>IF($A122="","",O122*J122)</f>
        <v/>
      </c>
      <c r="U122" s="45" t="n"/>
      <c r="V122" s="40" t="n"/>
      <c r="W122" s="40" t="n"/>
      <c r="X122" s="40" t="n"/>
      <c r="Y122" s="40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5" t="n"/>
      <c r="I123" s="35" t="n"/>
      <c r="J123" s="35" t="n"/>
      <c r="K123" s="35" t="n"/>
      <c r="L123" s="35" t="n"/>
      <c r="M123" s="36" t="n"/>
      <c r="N123" s="37">
        <f>IF($A123="","",IFERROR(SUMIFS('Sales Log'!$E$4:$E$503,'Sales Log'!$C$4:$C$503,$A123),0))</f>
        <v/>
      </c>
      <c r="O123" s="16">
        <f>IF($A123="","",M123-N123)</f>
        <v/>
      </c>
      <c r="P123" s="18">
        <f>IF(J123&gt;0,(J123-H123)/J123,"")</f>
        <v/>
      </c>
      <c r="Q123" s="18">
        <f>IF(K123&gt;0,(K123-H123)/K123,"")</f>
        <v/>
      </c>
      <c r="R123" s="38">
        <f>IF($A123="","",J123-H123)</f>
        <v/>
      </c>
      <c r="S123" s="38">
        <f>IF($A123="","",O123*H123)</f>
        <v/>
      </c>
      <c r="T123" s="38">
        <f>IF($A123="","",O123*J123)</f>
        <v/>
      </c>
      <c r="U123" s="39" t="n"/>
      <c r="V123" s="34" t="n"/>
      <c r="W123" s="34" t="n"/>
      <c r="X123" s="34" t="n"/>
      <c r="Y123" s="34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1" t="n"/>
      <c r="I124" s="41" t="n"/>
      <c r="J124" s="41" t="n"/>
      <c r="K124" s="41" t="n"/>
      <c r="L124" s="41" t="n"/>
      <c r="M124" s="42" t="n"/>
      <c r="N124" s="43">
        <f>IF($A124="","",IFERROR(SUMIFS('Sales Log'!$E$4:$E$503,'Sales Log'!$C$4:$C$503,$A124),0))</f>
        <v/>
      </c>
      <c r="O124" s="12">
        <f>IF($A124="","",M124-N124)</f>
        <v/>
      </c>
      <c r="P124" s="14">
        <f>IF(J124&gt;0,(J124-H124)/J124,"")</f>
        <v/>
      </c>
      <c r="Q124" s="14">
        <f>IF(K124&gt;0,(K124-H124)/K124,"")</f>
        <v/>
      </c>
      <c r="R124" s="44">
        <f>IF($A124="","",J124-H124)</f>
        <v/>
      </c>
      <c r="S124" s="44">
        <f>IF($A124="","",O124*H124)</f>
        <v/>
      </c>
      <c r="T124" s="44">
        <f>IF($A124="","",O124*J124)</f>
        <v/>
      </c>
      <c r="U124" s="45" t="n"/>
      <c r="V124" s="40" t="n"/>
      <c r="W124" s="40" t="n"/>
      <c r="X124" s="40" t="n"/>
      <c r="Y124" s="40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5" t="n"/>
      <c r="I125" s="35" t="n"/>
      <c r="J125" s="35" t="n"/>
      <c r="K125" s="35" t="n"/>
      <c r="L125" s="35" t="n"/>
      <c r="M125" s="36" t="n"/>
      <c r="N125" s="37">
        <f>IF($A125="","",IFERROR(SUMIFS('Sales Log'!$E$4:$E$503,'Sales Log'!$C$4:$C$503,$A125),0))</f>
        <v/>
      </c>
      <c r="O125" s="16">
        <f>IF($A125="","",M125-N125)</f>
        <v/>
      </c>
      <c r="P125" s="18">
        <f>IF(J125&gt;0,(J125-H125)/J125,"")</f>
        <v/>
      </c>
      <c r="Q125" s="18">
        <f>IF(K125&gt;0,(K125-H125)/K125,"")</f>
        <v/>
      </c>
      <c r="R125" s="38">
        <f>IF($A125="","",J125-H125)</f>
        <v/>
      </c>
      <c r="S125" s="38">
        <f>IF($A125="","",O125*H125)</f>
        <v/>
      </c>
      <c r="T125" s="38">
        <f>IF($A125="","",O125*J125)</f>
        <v/>
      </c>
      <c r="U125" s="39" t="n"/>
      <c r="V125" s="34" t="n"/>
      <c r="W125" s="34" t="n"/>
      <c r="X125" s="34" t="n"/>
      <c r="Y125" s="34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1" t="n"/>
      <c r="I126" s="41" t="n"/>
      <c r="J126" s="41" t="n"/>
      <c r="K126" s="41" t="n"/>
      <c r="L126" s="41" t="n"/>
      <c r="M126" s="42" t="n"/>
      <c r="N126" s="43">
        <f>IF($A126="","",IFERROR(SUMIFS('Sales Log'!$E$4:$E$503,'Sales Log'!$C$4:$C$503,$A126),0))</f>
        <v/>
      </c>
      <c r="O126" s="12">
        <f>IF($A126="","",M126-N126)</f>
        <v/>
      </c>
      <c r="P126" s="14">
        <f>IF(J126&gt;0,(J126-H126)/J126,"")</f>
        <v/>
      </c>
      <c r="Q126" s="14">
        <f>IF(K126&gt;0,(K126-H126)/K126,"")</f>
        <v/>
      </c>
      <c r="R126" s="44">
        <f>IF($A126="","",J126-H126)</f>
        <v/>
      </c>
      <c r="S126" s="44">
        <f>IF($A126="","",O126*H126)</f>
        <v/>
      </c>
      <c r="T126" s="44">
        <f>IF($A126="","",O126*J126)</f>
        <v/>
      </c>
      <c r="U126" s="45" t="n"/>
      <c r="V126" s="40" t="n"/>
      <c r="W126" s="40" t="n"/>
      <c r="X126" s="40" t="n"/>
      <c r="Y126" s="40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5" t="n"/>
      <c r="I127" s="35" t="n"/>
      <c r="J127" s="35" t="n"/>
      <c r="K127" s="35" t="n"/>
      <c r="L127" s="35" t="n"/>
      <c r="M127" s="36" t="n"/>
      <c r="N127" s="37">
        <f>IF($A127="","",IFERROR(SUMIFS('Sales Log'!$E$4:$E$503,'Sales Log'!$C$4:$C$503,$A127),0))</f>
        <v/>
      </c>
      <c r="O127" s="16">
        <f>IF($A127="","",M127-N127)</f>
        <v/>
      </c>
      <c r="P127" s="18">
        <f>IF(J127&gt;0,(J127-H127)/J127,"")</f>
        <v/>
      </c>
      <c r="Q127" s="18">
        <f>IF(K127&gt;0,(K127-H127)/K127,"")</f>
        <v/>
      </c>
      <c r="R127" s="38">
        <f>IF($A127="","",J127-H127)</f>
        <v/>
      </c>
      <c r="S127" s="38">
        <f>IF($A127="","",O127*H127)</f>
        <v/>
      </c>
      <c r="T127" s="38">
        <f>IF($A127="","",O127*J127)</f>
        <v/>
      </c>
      <c r="U127" s="39" t="n"/>
      <c r="V127" s="34" t="n"/>
      <c r="W127" s="34" t="n"/>
      <c r="X127" s="34" t="n"/>
      <c r="Y127" s="34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1" t="n"/>
      <c r="I128" s="41" t="n"/>
      <c r="J128" s="41" t="n"/>
      <c r="K128" s="41" t="n"/>
      <c r="L128" s="41" t="n"/>
      <c r="M128" s="42" t="n"/>
      <c r="N128" s="43">
        <f>IF($A128="","",IFERROR(SUMIFS('Sales Log'!$E$4:$E$503,'Sales Log'!$C$4:$C$503,$A128),0))</f>
        <v/>
      </c>
      <c r="O128" s="12">
        <f>IF($A128="","",M128-N128)</f>
        <v/>
      </c>
      <c r="P128" s="14">
        <f>IF(J128&gt;0,(J128-H128)/J128,"")</f>
        <v/>
      </c>
      <c r="Q128" s="14">
        <f>IF(K128&gt;0,(K128-H128)/K128,"")</f>
        <v/>
      </c>
      <c r="R128" s="44">
        <f>IF($A128="","",J128-H128)</f>
        <v/>
      </c>
      <c r="S128" s="44">
        <f>IF($A128="","",O128*H128)</f>
        <v/>
      </c>
      <c r="T128" s="44">
        <f>IF($A128="","",O128*J128)</f>
        <v/>
      </c>
      <c r="U128" s="45" t="n"/>
      <c r="V128" s="40" t="n"/>
      <c r="W128" s="40" t="n"/>
      <c r="X128" s="40" t="n"/>
      <c r="Y128" s="40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5" t="n"/>
      <c r="I129" s="35" t="n"/>
      <c r="J129" s="35" t="n"/>
      <c r="K129" s="35" t="n"/>
      <c r="L129" s="35" t="n"/>
      <c r="M129" s="36" t="n"/>
      <c r="N129" s="37">
        <f>IF($A129="","",IFERROR(SUMIFS('Sales Log'!$E$4:$E$503,'Sales Log'!$C$4:$C$503,$A129),0))</f>
        <v/>
      </c>
      <c r="O129" s="16">
        <f>IF($A129="","",M129-N129)</f>
        <v/>
      </c>
      <c r="P129" s="18">
        <f>IF(J129&gt;0,(J129-H129)/J129,"")</f>
        <v/>
      </c>
      <c r="Q129" s="18">
        <f>IF(K129&gt;0,(K129-H129)/K129,"")</f>
        <v/>
      </c>
      <c r="R129" s="38">
        <f>IF($A129="","",J129-H129)</f>
        <v/>
      </c>
      <c r="S129" s="38">
        <f>IF($A129="","",O129*H129)</f>
        <v/>
      </c>
      <c r="T129" s="38">
        <f>IF($A129="","",O129*J129)</f>
        <v/>
      </c>
      <c r="U129" s="39" t="n"/>
      <c r="V129" s="34" t="n"/>
      <c r="W129" s="34" t="n"/>
      <c r="X129" s="34" t="n"/>
      <c r="Y129" s="34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1" t="n"/>
      <c r="I130" s="41" t="n"/>
      <c r="J130" s="41" t="n"/>
      <c r="K130" s="41" t="n"/>
      <c r="L130" s="41" t="n"/>
      <c r="M130" s="42" t="n"/>
      <c r="N130" s="43">
        <f>IF($A130="","",IFERROR(SUMIFS('Sales Log'!$E$4:$E$503,'Sales Log'!$C$4:$C$503,$A130),0))</f>
        <v/>
      </c>
      <c r="O130" s="12">
        <f>IF($A130="","",M130-N130)</f>
        <v/>
      </c>
      <c r="P130" s="14">
        <f>IF(J130&gt;0,(J130-H130)/J130,"")</f>
        <v/>
      </c>
      <c r="Q130" s="14">
        <f>IF(K130&gt;0,(K130-H130)/K130,"")</f>
        <v/>
      </c>
      <c r="R130" s="44">
        <f>IF($A130="","",J130-H130)</f>
        <v/>
      </c>
      <c r="S130" s="44">
        <f>IF($A130="","",O130*H130)</f>
        <v/>
      </c>
      <c r="T130" s="44">
        <f>IF($A130="","",O130*J130)</f>
        <v/>
      </c>
      <c r="U130" s="45" t="n"/>
      <c r="V130" s="40" t="n"/>
      <c r="W130" s="40" t="n"/>
      <c r="X130" s="40" t="n"/>
      <c r="Y130" s="40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5" t="n"/>
      <c r="I131" s="35" t="n"/>
      <c r="J131" s="35" t="n"/>
      <c r="K131" s="35" t="n"/>
      <c r="L131" s="35" t="n"/>
      <c r="M131" s="36" t="n"/>
      <c r="N131" s="37">
        <f>IF($A131="","",IFERROR(SUMIFS('Sales Log'!$E$4:$E$503,'Sales Log'!$C$4:$C$503,$A131),0))</f>
        <v/>
      </c>
      <c r="O131" s="16">
        <f>IF($A131="","",M131-N131)</f>
        <v/>
      </c>
      <c r="P131" s="18">
        <f>IF(J131&gt;0,(J131-H131)/J131,"")</f>
        <v/>
      </c>
      <c r="Q131" s="18">
        <f>IF(K131&gt;0,(K131-H131)/K131,"")</f>
        <v/>
      </c>
      <c r="R131" s="38">
        <f>IF($A131="","",J131-H131)</f>
        <v/>
      </c>
      <c r="S131" s="38">
        <f>IF($A131="","",O131*H131)</f>
        <v/>
      </c>
      <c r="T131" s="38">
        <f>IF($A131="","",O131*J131)</f>
        <v/>
      </c>
      <c r="U131" s="39" t="n"/>
      <c r="V131" s="34" t="n"/>
      <c r="W131" s="34" t="n"/>
      <c r="X131" s="34" t="n"/>
      <c r="Y131" s="34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1" t="n"/>
      <c r="I132" s="41" t="n"/>
      <c r="J132" s="41" t="n"/>
      <c r="K132" s="41" t="n"/>
      <c r="L132" s="41" t="n"/>
      <c r="M132" s="42" t="n"/>
      <c r="N132" s="43">
        <f>IF($A132="","",IFERROR(SUMIFS('Sales Log'!$E$4:$E$503,'Sales Log'!$C$4:$C$503,$A132),0))</f>
        <v/>
      </c>
      <c r="O132" s="12">
        <f>IF($A132="","",M132-N132)</f>
        <v/>
      </c>
      <c r="P132" s="14">
        <f>IF(J132&gt;0,(J132-H132)/J132,"")</f>
        <v/>
      </c>
      <c r="Q132" s="14">
        <f>IF(K132&gt;0,(K132-H132)/K132,"")</f>
        <v/>
      </c>
      <c r="R132" s="44">
        <f>IF($A132="","",J132-H132)</f>
        <v/>
      </c>
      <c r="S132" s="44">
        <f>IF($A132="","",O132*H132)</f>
        <v/>
      </c>
      <c r="T132" s="44">
        <f>IF($A132="","",O132*J132)</f>
        <v/>
      </c>
      <c r="U132" s="45" t="n"/>
      <c r="V132" s="40" t="n"/>
      <c r="W132" s="40" t="n"/>
      <c r="X132" s="40" t="n"/>
      <c r="Y132" s="40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5" t="n"/>
      <c r="I133" s="35" t="n"/>
      <c r="J133" s="35" t="n"/>
      <c r="K133" s="35" t="n"/>
      <c r="L133" s="35" t="n"/>
      <c r="M133" s="36" t="n"/>
      <c r="N133" s="37">
        <f>IF($A133="","",IFERROR(SUMIFS('Sales Log'!$E$4:$E$503,'Sales Log'!$C$4:$C$503,$A133),0))</f>
        <v/>
      </c>
      <c r="O133" s="16">
        <f>IF($A133="","",M133-N133)</f>
        <v/>
      </c>
      <c r="P133" s="18">
        <f>IF(J133&gt;0,(J133-H133)/J133,"")</f>
        <v/>
      </c>
      <c r="Q133" s="18">
        <f>IF(K133&gt;0,(K133-H133)/K133,"")</f>
        <v/>
      </c>
      <c r="R133" s="38">
        <f>IF($A133="","",J133-H133)</f>
        <v/>
      </c>
      <c r="S133" s="38">
        <f>IF($A133="","",O133*H133)</f>
        <v/>
      </c>
      <c r="T133" s="38">
        <f>IF($A133="","",O133*J133)</f>
        <v/>
      </c>
      <c r="U133" s="39" t="n"/>
      <c r="V133" s="34" t="n"/>
      <c r="W133" s="34" t="n"/>
      <c r="X133" s="34" t="n"/>
      <c r="Y133" s="34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1" t="n"/>
      <c r="I134" s="41" t="n"/>
      <c r="J134" s="41" t="n"/>
      <c r="K134" s="41" t="n"/>
      <c r="L134" s="41" t="n"/>
      <c r="M134" s="42" t="n"/>
      <c r="N134" s="43">
        <f>IF($A134="","",IFERROR(SUMIFS('Sales Log'!$E$4:$E$503,'Sales Log'!$C$4:$C$503,$A134),0))</f>
        <v/>
      </c>
      <c r="O134" s="12">
        <f>IF($A134="","",M134-N134)</f>
        <v/>
      </c>
      <c r="P134" s="14">
        <f>IF(J134&gt;0,(J134-H134)/J134,"")</f>
        <v/>
      </c>
      <c r="Q134" s="14">
        <f>IF(K134&gt;0,(K134-H134)/K134,"")</f>
        <v/>
      </c>
      <c r="R134" s="44">
        <f>IF($A134="","",J134-H134)</f>
        <v/>
      </c>
      <c r="S134" s="44">
        <f>IF($A134="","",O134*H134)</f>
        <v/>
      </c>
      <c r="T134" s="44">
        <f>IF($A134="","",O134*J134)</f>
        <v/>
      </c>
      <c r="U134" s="45" t="n"/>
      <c r="V134" s="40" t="n"/>
      <c r="W134" s="40" t="n"/>
      <c r="X134" s="40" t="n"/>
      <c r="Y134" s="40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5" t="n"/>
      <c r="I135" s="35" t="n"/>
      <c r="J135" s="35" t="n"/>
      <c r="K135" s="35" t="n"/>
      <c r="L135" s="35" t="n"/>
      <c r="M135" s="36" t="n"/>
      <c r="N135" s="37">
        <f>IF($A135="","",IFERROR(SUMIFS('Sales Log'!$E$4:$E$503,'Sales Log'!$C$4:$C$503,$A135),0))</f>
        <v/>
      </c>
      <c r="O135" s="16">
        <f>IF($A135="","",M135-N135)</f>
        <v/>
      </c>
      <c r="P135" s="18">
        <f>IF(J135&gt;0,(J135-H135)/J135,"")</f>
        <v/>
      </c>
      <c r="Q135" s="18">
        <f>IF(K135&gt;0,(K135-H135)/K135,"")</f>
        <v/>
      </c>
      <c r="R135" s="38">
        <f>IF($A135="","",J135-H135)</f>
        <v/>
      </c>
      <c r="S135" s="38">
        <f>IF($A135="","",O135*H135)</f>
        <v/>
      </c>
      <c r="T135" s="38">
        <f>IF($A135="","",O135*J135)</f>
        <v/>
      </c>
      <c r="U135" s="39" t="n"/>
      <c r="V135" s="34" t="n"/>
      <c r="W135" s="34" t="n"/>
      <c r="X135" s="34" t="n"/>
      <c r="Y135" s="34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1" t="n"/>
      <c r="I136" s="41" t="n"/>
      <c r="J136" s="41" t="n"/>
      <c r="K136" s="41" t="n"/>
      <c r="L136" s="41" t="n"/>
      <c r="M136" s="42" t="n"/>
      <c r="N136" s="43">
        <f>IF($A136="","",IFERROR(SUMIFS('Sales Log'!$E$4:$E$503,'Sales Log'!$C$4:$C$503,$A136),0))</f>
        <v/>
      </c>
      <c r="O136" s="12">
        <f>IF($A136="","",M136-N136)</f>
        <v/>
      </c>
      <c r="P136" s="14">
        <f>IF(J136&gt;0,(J136-H136)/J136,"")</f>
        <v/>
      </c>
      <c r="Q136" s="14">
        <f>IF(K136&gt;0,(K136-H136)/K136,"")</f>
        <v/>
      </c>
      <c r="R136" s="44">
        <f>IF($A136="","",J136-H136)</f>
        <v/>
      </c>
      <c r="S136" s="44">
        <f>IF($A136="","",O136*H136)</f>
        <v/>
      </c>
      <c r="T136" s="44">
        <f>IF($A136="","",O136*J136)</f>
        <v/>
      </c>
      <c r="U136" s="45" t="n"/>
      <c r="V136" s="40" t="n"/>
      <c r="W136" s="40" t="n"/>
      <c r="X136" s="40" t="n"/>
      <c r="Y136" s="40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5" t="n"/>
      <c r="I137" s="35" t="n"/>
      <c r="J137" s="35" t="n"/>
      <c r="K137" s="35" t="n"/>
      <c r="L137" s="35" t="n"/>
      <c r="M137" s="36" t="n"/>
      <c r="N137" s="37">
        <f>IF($A137="","",IFERROR(SUMIFS('Sales Log'!$E$4:$E$503,'Sales Log'!$C$4:$C$503,$A137),0))</f>
        <v/>
      </c>
      <c r="O137" s="16">
        <f>IF($A137="","",M137-N137)</f>
        <v/>
      </c>
      <c r="P137" s="18">
        <f>IF(J137&gt;0,(J137-H137)/J137,"")</f>
        <v/>
      </c>
      <c r="Q137" s="18">
        <f>IF(K137&gt;0,(K137-H137)/K137,"")</f>
        <v/>
      </c>
      <c r="R137" s="38">
        <f>IF($A137="","",J137-H137)</f>
        <v/>
      </c>
      <c r="S137" s="38">
        <f>IF($A137="","",O137*H137)</f>
        <v/>
      </c>
      <c r="T137" s="38">
        <f>IF($A137="","",O137*J137)</f>
        <v/>
      </c>
      <c r="U137" s="39" t="n"/>
      <c r="V137" s="34" t="n"/>
      <c r="W137" s="34" t="n"/>
      <c r="X137" s="34" t="n"/>
      <c r="Y137" s="34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1" t="n"/>
      <c r="I138" s="41" t="n"/>
      <c r="J138" s="41" t="n"/>
      <c r="K138" s="41" t="n"/>
      <c r="L138" s="41" t="n"/>
      <c r="M138" s="42" t="n"/>
      <c r="N138" s="43">
        <f>IF($A138="","",IFERROR(SUMIFS('Sales Log'!$E$4:$E$503,'Sales Log'!$C$4:$C$503,$A138),0))</f>
        <v/>
      </c>
      <c r="O138" s="12">
        <f>IF($A138="","",M138-N138)</f>
        <v/>
      </c>
      <c r="P138" s="14">
        <f>IF(J138&gt;0,(J138-H138)/J138,"")</f>
        <v/>
      </c>
      <c r="Q138" s="14">
        <f>IF(K138&gt;0,(K138-H138)/K138,"")</f>
        <v/>
      </c>
      <c r="R138" s="44">
        <f>IF($A138="","",J138-H138)</f>
        <v/>
      </c>
      <c r="S138" s="44">
        <f>IF($A138="","",O138*H138)</f>
        <v/>
      </c>
      <c r="T138" s="44">
        <f>IF($A138="","",O138*J138)</f>
        <v/>
      </c>
      <c r="U138" s="45" t="n"/>
      <c r="V138" s="40" t="n"/>
      <c r="W138" s="40" t="n"/>
      <c r="X138" s="40" t="n"/>
      <c r="Y138" s="40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5" t="n"/>
      <c r="I139" s="35" t="n"/>
      <c r="J139" s="35" t="n"/>
      <c r="K139" s="35" t="n"/>
      <c r="L139" s="35" t="n"/>
      <c r="M139" s="36" t="n"/>
      <c r="N139" s="37">
        <f>IF($A139="","",IFERROR(SUMIFS('Sales Log'!$E$4:$E$503,'Sales Log'!$C$4:$C$503,$A139),0))</f>
        <v/>
      </c>
      <c r="O139" s="16">
        <f>IF($A139="","",M139-N139)</f>
        <v/>
      </c>
      <c r="P139" s="18">
        <f>IF(J139&gt;0,(J139-H139)/J139,"")</f>
        <v/>
      </c>
      <c r="Q139" s="18">
        <f>IF(K139&gt;0,(K139-H139)/K139,"")</f>
        <v/>
      </c>
      <c r="R139" s="38">
        <f>IF($A139="","",J139-H139)</f>
        <v/>
      </c>
      <c r="S139" s="38">
        <f>IF($A139="","",O139*H139)</f>
        <v/>
      </c>
      <c r="T139" s="38">
        <f>IF($A139="","",O139*J139)</f>
        <v/>
      </c>
      <c r="U139" s="39" t="n"/>
      <c r="V139" s="34" t="n"/>
      <c r="W139" s="34" t="n"/>
      <c r="X139" s="34" t="n"/>
      <c r="Y139" s="34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1" t="n"/>
      <c r="I140" s="41" t="n"/>
      <c r="J140" s="41" t="n"/>
      <c r="K140" s="41" t="n"/>
      <c r="L140" s="41" t="n"/>
      <c r="M140" s="42" t="n"/>
      <c r="N140" s="43">
        <f>IF($A140="","",IFERROR(SUMIFS('Sales Log'!$E$4:$E$503,'Sales Log'!$C$4:$C$503,$A140),0))</f>
        <v/>
      </c>
      <c r="O140" s="12">
        <f>IF($A140="","",M140-N140)</f>
        <v/>
      </c>
      <c r="P140" s="14">
        <f>IF(J140&gt;0,(J140-H140)/J140,"")</f>
        <v/>
      </c>
      <c r="Q140" s="14">
        <f>IF(K140&gt;0,(K140-H140)/K140,"")</f>
        <v/>
      </c>
      <c r="R140" s="44">
        <f>IF($A140="","",J140-H140)</f>
        <v/>
      </c>
      <c r="S140" s="44">
        <f>IF($A140="","",O140*H140)</f>
        <v/>
      </c>
      <c r="T140" s="44">
        <f>IF($A140="","",O140*J140)</f>
        <v/>
      </c>
      <c r="U140" s="45" t="n"/>
      <c r="V140" s="40" t="n"/>
      <c r="W140" s="40" t="n"/>
      <c r="X140" s="40" t="n"/>
      <c r="Y140" s="40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5" t="n"/>
      <c r="I141" s="35" t="n"/>
      <c r="J141" s="35" t="n"/>
      <c r="K141" s="35" t="n"/>
      <c r="L141" s="35" t="n"/>
      <c r="M141" s="36" t="n"/>
      <c r="N141" s="37">
        <f>IF($A141="","",IFERROR(SUMIFS('Sales Log'!$E$4:$E$503,'Sales Log'!$C$4:$C$503,$A141),0))</f>
        <v/>
      </c>
      <c r="O141" s="16">
        <f>IF($A141="","",M141-N141)</f>
        <v/>
      </c>
      <c r="P141" s="18">
        <f>IF(J141&gt;0,(J141-H141)/J141,"")</f>
        <v/>
      </c>
      <c r="Q141" s="18">
        <f>IF(K141&gt;0,(K141-H141)/K141,"")</f>
        <v/>
      </c>
      <c r="R141" s="38">
        <f>IF($A141="","",J141-H141)</f>
        <v/>
      </c>
      <c r="S141" s="38">
        <f>IF($A141="","",O141*H141)</f>
        <v/>
      </c>
      <c r="T141" s="38">
        <f>IF($A141="","",O141*J141)</f>
        <v/>
      </c>
      <c r="U141" s="39" t="n"/>
      <c r="V141" s="34" t="n"/>
      <c r="W141" s="34" t="n"/>
      <c r="X141" s="34" t="n"/>
      <c r="Y141" s="34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1" t="n"/>
      <c r="I142" s="41" t="n"/>
      <c r="J142" s="41" t="n"/>
      <c r="K142" s="41" t="n"/>
      <c r="L142" s="41" t="n"/>
      <c r="M142" s="42" t="n"/>
      <c r="N142" s="43">
        <f>IF($A142="","",IFERROR(SUMIFS('Sales Log'!$E$4:$E$503,'Sales Log'!$C$4:$C$503,$A142),0))</f>
        <v/>
      </c>
      <c r="O142" s="12">
        <f>IF($A142="","",M142-N142)</f>
        <v/>
      </c>
      <c r="P142" s="14">
        <f>IF(J142&gt;0,(J142-H142)/J142,"")</f>
        <v/>
      </c>
      <c r="Q142" s="14">
        <f>IF(K142&gt;0,(K142-H142)/K142,"")</f>
        <v/>
      </c>
      <c r="R142" s="44">
        <f>IF($A142="","",J142-H142)</f>
        <v/>
      </c>
      <c r="S142" s="44">
        <f>IF($A142="","",O142*H142)</f>
        <v/>
      </c>
      <c r="T142" s="44">
        <f>IF($A142="","",O142*J142)</f>
        <v/>
      </c>
      <c r="U142" s="45" t="n"/>
      <c r="V142" s="40" t="n"/>
      <c r="W142" s="40" t="n"/>
      <c r="X142" s="40" t="n"/>
      <c r="Y142" s="40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5" t="n"/>
      <c r="I143" s="35" t="n"/>
      <c r="J143" s="35" t="n"/>
      <c r="K143" s="35" t="n"/>
      <c r="L143" s="35" t="n"/>
      <c r="M143" s="36" t="n"/>
      <c r="N143" s="37">
        <f>IF($A143="","",IFERROR(SUMIFS('Sales Log'!$E$4:$E$503,'Sales Log'!$C$4:$C$503,$A143),0))</f>
        <v/>
      </c>
      <c r="O143" s="16">
        <f>IF($A143="","",M143-N143)</f>
        <v/>
      </c>
      <c r="P143" s="18">
        <f>IF(J143&gt;0,(J143-H143)/J143,"")</f>
        <v/>
      </c>
      <c r="Q143" s="18">
        <f>IF(K143&gt;0,(K143-H143)/K143,"")</f>
        <v/>
      </c>
      <c r="R143" s="38">
        <f>IF($A143="","",J143-H143)</f>
        <v/>
      </c>
      <c r="S143" s="38">
        <f>IF($A143="","",O143*H143)</f>
        <v/>
      </c>
      <c r="T143" s="38">
        <f>IF($A143="","",O143*J143)</f>
        <v/>
      </c>
      <c r="U143" s="39" t="n"/>
      <c r="V143" s="34" t="n"/>
      <c r="W143" s="34" t="n"/>
      <c r="X143" s="34" t="n"/>
      <c r="Y143" s="34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1" t="n"/>
      <c r="I144" s="41" t="n"/>
      <c r="J144" s="41" t="n"/>
      <c r="K144" s="41" t="n"/>
      <c r="L144" s="41" t="n"/>
      <c r="M144" s="42" t="n"/>
      <c r="N144" s="43">
        <f>IF($A144="","",IFERROR(SUMIFS('Sales Log'!$E$4:$E$503,'Sales Log'!$C$4:$C$503,$A144),0))</f>
        <v/>
      </c>
      <c r="O144" s="12">
        <f>IF($A144="","",M144-N144)</f>
        <v/>
      </c>
      <c r="P144" s="14">
        <f>IF(J144&gt;0,(J144-H144)/J144,"")</f>
        <v/>
      </c>
      <c r="Q144" s="14">
        <f>IF(K144&gt;0,(K144-H144)/K144,"")</f>
        <v/>
      </c>
      <c r="R144" s="44">
        <f>IF($A144="","",J144-H144)</f>
        <v/>
      </c>
      <c r="S144" s="44">
        <f>IF($A144="","",O144*H144)</f>
        <v/>
      </c>
      <c r="T144" s="44">
        <f>IF($A144="","",O144*J144)</f>
        <v/>
      </c>
      <c r="U144" s="45" t="n"/>
      <c r="V144" s="40" t="n"/>
      <c r="W144" s="40" t="n"/>
      <c r="X144" s="40" t="n"/>
      <c r="Y144" s="40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5" t="n"/>
      <c r="I145" s="35" t="n"/>
      <c r="J145" s="35" t="n"/>
      <c r="K145" s="35" t="n"/>
      <c r="L145" s="35" t="n"/>
      <c r="M145" s="36" t="n"/>
      <c r="N145" s="37">
        <f>IF($A145="","",IFERROR(SUMIFS('Sales Log'!$E$4:$E$503,'Sales Log'!$C$4:$C$503,$A145),0))</f>
        <v/>
      </c>
      <c r="O145" s="16">
        <f>IF($A145="","",M145-N145)</f>
        <v/>
      </c>
      <c r="P145" s="18">
        <f>IF(J145&gt;0,(J145-H145)/J145,"")</f>
        <v/>
      </c>
      <c r="Q145" s="18">
        <f>IF(K145&gt;0,(K145-H145)/K145,"")</f>
        <v/>
      </c>
      <c r="R145" s="38">
        <f>IF($A145="","",J145-H145)</f>
        <v/>
      </c>
      <c r="S145" s="38">
        <f>IF($A145="","",O145*H145)</f>
        <v/>
      </c>
      <c r="T145" s="38">
        <f>IF($A145="","",O145*J145)</f>
        <v/>
      </c>
      <c r="U145" s="39" t="n"/>
      <c r="V145" s="34" t="n"/>
      <c r="W145" s="34" t="n"/>
      <c r="X145" s="34" t="n"/>
      <c r="Y145" s="34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1" t="n"/>
      <c r="I146" s="41" t="n"/>
      <c r="J146" s="41" t="n"/>
      <c r="K146" s="41" t="n"/>
      <c r="L146" s="41" t="n"/>
      <c r="M146" s="42" t="n"/>
      <c r="N146" s="43">
        <f>IF($A146="","",IFERROR(SUMIFS('Sales Log'!$E$4:$E$503,'Sales Log'!$C$4:$C$503,$A146),0))</f>
        <v/>
      </c>
      <c r="O146" s="12">
        <f>IF($A146="","",M146-N146)</f>
        <v/>
      </c>
      <c r="P146" s="14">
        <f>IF(J146&gt;0,(J146-H146)/J146,"")</f>
        <v/>
      </c>
      <c r="Q146" s="14">
        <f>IF(K146&gt;0,(K146-H146)/K146,"")</f>
        <v/>
      </c>
      <c r="R146" s="44">
        <f>IF($A146="","",J146-H146)</f>
        <v/>
      </c>
      <c r="S146" s="44">
        <f>IF($A146="","",O146*H146)</f>
        <v/>
      </c>
      <c r="T146" s="44">
        <f>IF($A146="","",O146*J146)</f>
        <v/>
      </c>
      <c r="U146" s="45" t="n"/>
      <c r="V146" s="40" t="n"/>
      <c r="W146" s="40" t="n"/>
      <c r="X146" s="40" t="n"/>
      <c r="Y146" s="40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5" t="n"/>
      <c r="I147" s="35" t="n"/>
      <c r="J147" s="35" t="n"/>
      <c r="K147" s="35" t="n"/>
      <c r="L147" s="35" t="n"/>
      <c r="M147" s="36" t="n"/>
      <c r="N147" s="37">
        <f>IF($A147="","",IFERROR(SUMIFS('Sales Log'!$E$4:$E$503,'Sales Log'!$C$4:$C$503,$A147),0))</f>
        <v/>
      </c>
      <c r="O147" s="16">
        <f>IF($A147="","",M147-N147)</f>
        <v/>
      </c>
      <c r="P147" s="18">
        <f>IF(J147&gt;0,(J147-H147)/J147,"")</f>
        <v/>
      </c>
      <c r="Q147" s="18">
        <f>IF(K147&gt;0,(K147-H147)/K147,"")</f>
        <v/>
      </c>
      <c r="R147" s="38">
        <f>IF($A147="","",J147-H147)</f>
        <v/>
      </c>
      <c r="S147" s="38">
        <f>IF($A147="","",O147*H147)</f>
        <v/>
      </c>
      <c r="T147" s="38">
        <f>IF($A147="","",O147*J147)</f>
        <v/>
      </c>
      <c r="U147" s="39" t="n"/>
      <c r="V147" s="34" t="n"/>
      <c r="W147" s="34" t="n"/>
      <c r="X147" s="34" t="n"/>
      <c r="Y147" s="34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1" t="n"/>
      <c r="I148" s="41" t="n"/>
      <c r="J148" s="41" t="n"/>
      <c r="K148" s="41" t="n"/>
      <c r="L148" s="41" t="n"/>
      <c r="M148" s="42" t="n"/>
      <c r="N148" s="43">
        <f>IF($A148="","",IFERROR(SUMIFS('Sales Log'!$E$4:$E$503,'Sales Log'!$C$4:$C$503,$A148),0))</f>
        <v/>
      </c>
      <c r="O148" s="12">
        <f>IF($A148="","",M148-N148)</f>
        <v/>
      </c>
      <c r="P148" s="14">
        <f>IF(J148&gt;0,(J148-H148)/J148,"")</f>
        <v/>
      </c>
      <c r="Q148" s="14">
        <f>IF(K148&gt;0,(K148-H148)/K148,"")</f>
        <v/>
      </c>
      <c r="R148" s="44">
        <f>IF($A148="","",J148-H148)</f>
        <v/>
      </c>
      <c r="S148" s="44">
        <f>IF($A148="","",O148*H148)</f>
        <v/>
      </c>
      <c r="T148" s="44">
        <f>IF($A148="","",O148*J148)</f>
        <v/>
      </c>
      <c r="U148" s="45" t="n"/>
      <c r="V148" s="40" t="n"/>
      <c r="W148" s="40" t="n"/>
      <c r="X148" s="40" t="n"/>
      <c r="Y148" s="40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5" t="n"/>
      <c r="I149" s="35" t="n"/>
      <c r="J149" s="35" t="n"/>
      <c r="K149" s="35" t="n"/>
      <c r="L149" s="35" t="n"/>
      <c r="M149" s="36" t="n"/>
      <c r="N149" s="37">
        <f>IF($A149="","",IFERROR(SUMIFS('Sales Log'!$E$4:$E$503,'Sales Log'!$C$4:$C$503,$A149),0))</f>
        <v/>
      </c>
      <c r="O149" s="16">
        <f>IF($A149="","",M149-N149)</f>
        <v/>
      </c>
      <c r="P149" s="18">
        <f>IF(J149&gt;0,(J149-H149)/J149,"")</f>
        <v/>
      </c>
      <c r="Q149" s="18">
        <f>IF(K149&gt;0,(K149-H149)/K149,"")</f>
        <v/>
      </c>
      <c r="R149" s="38">
        <f>IF($A149="","",J149-H149)</f>
        <v/>
      </c>
      <c r="S149" s="38">
        <f>IF($A149="","",O149*H149)</f>
        <v/>
      </c>
      <c r="T149" s="38">
        <f>IF($A149="","",O149*J149)</f>
        <v/>
      </c>
      <c r="U149" s="39" t="n"/>
      <c r="V149" s="34" t="n"/>
      <c r="W149" s="34" t="n"/>
      <c r="X149" s="34" t="n"/>
      <c r="Y149" s="34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1" t="n"/>
      <c r="I150" s="41" t="n"/>
      <c r="J150" s="41" t="n"/>
      <c r="K150" s="41" t="n"/>
      <c r="L150" s="41" t="n"/>
      <c r="M150" s="42" t="n"/>
      <c r="N150" s="43">
        <f>IF($A150="","",IFERROR(SUMIFS('Sales Log'!$E$4:$E$503,'Sales Log'!$C$4:$C$503,$A150),0))</f>
        <v/>
      </c>
      <c r="O150" s="12">
        <f>IF($A150="","",M150-N150)</f>
        <v/>
      </c>
      <c r="P150" s="14">
        <f>IF(J150&gt;0,(J150-H150)/J150,"")</f>
        <v/>
      </c>
      <c r="Q150" s="14">
        <f>IF(K150&gt;0,(K150-H150)/K150,"")</f>
        <v/>
      </c>
      <c r="R150" s="44">
        <f>IF($A150="","",J150-H150)</f>
        <v/>
      </c>
      <c r="S150" s="44">
        <f>IF($A150="","",O150*H150)</f>
        <v/>
      </c>
      <c r="T150" s="44">
        <f>IF($A150="","",O150*J150)</f>
        <v/>
      </c>
      <c r="U150" s="45" t="n"/>
      <c r="V150" s="40" t="n"/>
      <c r="W150" s="40" t="n"/>
      <c r="X150" s="40" t="n"/>
      <c r="Y150" s="40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5" t="n"/>
      <c r="I151" s="35" t="n"/>
      <c r="J151" s="35" t="n"/>
      <c r="K151" s="35" t="n"/>
      <c r="L151" s="35" t="n"/>
      <c r="M151" s="36" t="n"/>
      <c r="N151" s="37">
        <f>IF($A151="","",IFERROR(SUMIFS('Sales Log'!$E$4:$E$503,'Sales Log'!$C$4:$C$503,$A151),0))</f>
        <v/>
      </c>
      <c r="O151" s="16">
        <f>IF($A151="","",M151-N151)</f>
        <v/>
      </c>
      <c r="P151" s="18">
        <f>IF(J151&gt;0,(J151-H151)/J151,"")</f>
        <v/>
      </c>
      <c r="Q151" s="18">
        <f>IF(K151&gt;0,(K151-H151)/K151,"")</f>
        <v/>
      </c>
      <c r="R151" s="38">
        <f>IF($A151="","",J151-H151)</f>
        <v/>
      </c>
      <c r="S151" s="38">
        <f>IF($A151="","",O151*H151)</f>
        <v/>
      </c>
      <c r="T151" s="38">
        <f>IF($A151="","",O151*J151)</f>
        <v/>
      </c>
      <c r="U151" s="39" t="n"/>
      <c r="V151" s="34" t="n"/>
      <c r="W151" s="34" t="n"/>
      <c r="X151" s="34" t="n"/>
      <c r="Y151" s="34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1" t="n"/>
      <c r="I152" s="41" t="n"/>
      <c r="J152" s="41" t="n"/>
      <c r="K152" s="41" t="n"/>
      <c r="L152" s="41" t="n"/>
      <c r="M152" s="42" t="n"/>
      <c r="N152" s="43">
        <f>IF($A152="","",IFERROR(SUMIFS('Sales Log'!$E$4:$E$503,'Sales Log'!$C$4:$C$503,$A152),0))</f>
        <v/>
      </c>
      <c r="O152" s="12">
        <f>IF($A152="","",M152-N152)</f>
        <v/>
      </c>
      <c r="P152" s="14">
        <f>IF(J152&gt;0,(J152-H152)/J152,"")</f>
        <v/>
      </c>
      <c r="Q152" s="14">
        <f>IF(K152&gt;0,(K152-H152)/K152,"")</f>
        <v/>
      </c>
      <c r="R152" s="44">
        <f>IF($A152="","",J152-H152)</f>
        <v/>
      </c>
      <c r="S152" s="44">
        <f>IF($A152="","",O152*H152)</f>
        <v/>
      </c>
      <c r="T152" s="44">
        <f>IF($A152="","",O152*J152)</f>
        <v/>
      </c>
      <c r="U152" s="45" t="n"/>
      <c r="V152" s="40" t="n"/>
      <c r="W152" s="40" t="n"/>
      <c r="X152" s="40" t="n"/>
      <c r="Y152" s="40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5" t="n"/>
      <c r="I153" s="35" t="n"/>
      <c r="J153" s="35" t="n"/>
      <c r="K153" s="35" t="n"/>
      <c r="L153" s="35" t="n"/>
      <c r="M153" s="36" t="n"/>
      <c r="N153" s="37">
        <f>IF($A153="","",IFERROR(SUMIFS('Sales Log'!$E$4:$E$503,'Sales Log'!$C$4:$C$503,$A153),0))</f>
        <v/>
      </c>
      <c r="O153" s="16">
        <f>IF($A153="","",M153-N153)</f>
        <v/>
      </c>
      <c r="P153" s="18">
        <f>IF(J153&gt;0,(J153-H153)/J153,"")</f>
        <v/>
      </c>
      <c r="Q153" s="18">
        <f>IF(K153&gt;0,(K153-H153)/K153,"")</f>
        <v/>
      </c>
      <c r="R153" s="38">
        <f>IF($A153="","",J153-H153)</f>
        <v/>
      </c>
      <c r="S153" s="38">
        <f>IF($A153="","",O153*H153)</f>
        <v/>
      </c>
      <c r="T153" s="38">
        <f>IF($A153="","",O153*J153)</f>
        <v/>
      </c>
      <c r="U153" s="39" t="n"/>
      <c r="V153" s="34" t="n"/>
      <c r="W153" s="34" t="n"/>
      <c r="X153" s="34" t="n"/>
      <c r="Y153" s="34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1" t="n"/>
      <c r="I154" s="41" t="n"/>
      <c r="J154" s="41" t="n"/>
      <c r="K154" s="41" t="n"/>
      <c r="L154" s="41" t="n"/>
      <c r="M154" s="42" t="n"/>
      <c r="N154" s="43">
        <f>IF($A154="","",IFERROR(SUMIFS('Sales Log'!$E$4:$E$503,'Sales Log'!$C$4:$C$503,$A154),0))</f>
        <v/>
      </c>
      <c r="O154" s="12">
        <f>IF($A154="","",M154-N154)</f>
        <v/>
      </c>
      <c r="P154" s="14">
        <f>IF(J154&gt;0,(J154-H154)/J154,"")</f>
        <v/>
      </c>
      <c r="Q154" s="14">
        <f>IF(K154&gt;0,(K154-H154)/K154,"")</f>
        <v/>
      </c>
      <c r="R154" s="44">
        <f>IF($A154="","",J154-H154)</f>
        <v/>
      </c>
      <c r="S154" s="44">
        <f>IF($A154="","",O154*H154)</f>
        <v/>
      </c>
      <c r="T154" s="44">
        <f>IF($A154="","",O154*J154)</f>
        <v/>
      </c>
      <c r="U154" s="45" t="n"/>
      <c r="V154" s="40" t="n"/>
      <c r="W154" s="40" t="n"/>
      <c r="X154" s="40" t="n"/>
      <c r="Y154" s="40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5" t="n"/>
      <c r="I155" s="35" t="n"/>
      <c r="J155" s="35" t="n"/>
      <c r="K155" s="35" t="n"/>
      <c r="L155" s="35" t="n"/>
      <c r="M155" s="36" t="n"/>
      <c r="N155" s="37">
        <f>IF($A155="","",IFERROR(SUMIFS('Sales Log'!$E$4:$E$503,'Sales Log'!$C$4:$C$503,$A155),0))</f>
        <v/>
      </c>
      <c r="O155" s="16">
        <f>IF($A155="","",M155-N155)</f>
        <v/>
      </c>
      <c r="P155" s="18">
        <f>IF(J155&gt;0,(J155-H155)/J155,"")</f>
        <v/>
      </c>
      <c r="Q155" s="18">
        <f>IF(K155&gt;0,(K155-H155)/K155,"")</f>
        <v/>
      </c>
      <c r="R155" s="38">
        <f>IF($A155="","",J155-H155)</f>
        <v/>
      </c>
      <c r="S155" s="38">
        <f>IF($A155="","",O155*H155)</f>
        <v/>
      </c>
      <c r="T155" s="38">
        <f>IF($A155="","",O155*J155)</f>
        <v/>
      </c>
      <c r="U155" s="39" t="n"/>
      <c r="V155" s="34" t="n"/>
      <c r="W155" s="34" t="n"/>
      <c r="X155" s="34" t="n"/>
      <c r="Y155" s="34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1" t="n"/>
      <c r="I156" s="41" t="n"/>
      <c r="J156" s="41" t="n"/>
      <c r="K156" s="41" t="n"/>
      <c r="L156" s="41" t="n"/>
      <c r="M156" s="42" t="n"/>
      <c r="N156" s="43">
        <f>IF($A156="","",IFERROR(SUMIFS('Sales Log'!$E$4:$E$503,'Sales Log'!$C$4:$C$503,$A156),0))</f>
        <v/>
      </c>
      <c r="O156" s="12">
        <f>IF($A156="","",M156-N156)</f>
        <v/>
      </c>
      <c r="P156" s="14">
        <f>IF(J156&gt;0,(J156-H156)/J156,"")</f>
        <v/>
      </c>
      <c r="Q156" s="14">
        <f>IF(K156&gt;0,(K156-H156)/K156,"")</f>
        <v/>
      </c>
      <c r="R156" s="44">
        <f>IF($A156="","",J156-H156)</f>
        <v/>
      </c>
      <c r="S156" s="44">
        <f>IF($A156="","",O156*H156)</f>
        <v/>
      </c>
      <c r="T156" s="44">
        <f>IF($A156="","",O156*J156)</f>
        <v/>
      </c>
      <c r="U156" s="45" t="n"/>
      <c r="V156" s="40" t="n"/>
      <c r="W156" s="40" t="n"/>
      <c r="X156" s="40" t="n"/>
      <c r="Y156" s="40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5" t="n"/>
      <c r="I157" s="35" t="n"/>
      <c r="J157" s="35" t="n"/>
      <c r="K157" s="35" t="n"/>
      <c r="L157" s="35" t="n"/>
      <c r="M157" s="36" t="n"/>
      <c r="N157" s="37">
        <f>IF($A157="","",IFERROR(SUMIFS('Sales Log'!$E$4:$E$503,'Sales Log'!$C$4:$C$503,$A157),0))</f>
        <v/>
      </c>
      <c r="O157" s="16">
        <f>IF($A157="","",M157-N157)</f>
        <v/>
      </c>
      <c r="P157" s="18">
        <f>IF(J157&gt;0,(J157-H157)/J157,"")</f>
        <v/>
      </c>
      <c r="Q157" s="18">
        <f>IF(K157&gt;0,(K157-H157)/K157,"")</f>
        <v/>
      </c>
      <c r="R157" s="38">
        <f>IF($A157="","",J157-H157)</f>
        <v/>
      </c>
      <c r="S157" s="38">
        <f>IF($A157="","",O157*H157)</f>
        <v/>
      </c>
      <c r="T157" s="38">
        <f>IF($A157="","",O157*J157)</f>
        <v/>
      </c>
      <c r="U157" s="39" t="n"/>
      <c r="V157" s="34" t="n"/>
      <c r="W157" s="34" t="n"/>
      <c r="X157" s="34" t="n"/>
      <c r="Y157" s="34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1" t="n"/>
      <c r="I158" s="41" t="n"/>
      <c r="J158" s="41" t="n"/>
      <c r="K158" s="41" t="n"/>
      <c r="L158" s="41" t="n"/>
      <c r="M158" s="42" t="n"/>
      <c r="N158" s="43">
        <f>IF($A158="","",IFERROR(SUMIFS('Sales Log'!$E$4:$E$503,'Sales Log'!$C$4:$C$503,$A158),0))</f>
        <v/>
      </c>
      <c r="O158" s="12">
        <f>IF($A158="","",M158-N158)</f>
        <v/>
      </c>
      <c r="P158" s="14">
        <f>IF(J158&gt;0,(J158-H158)/J158,"")</f>
        <v/>
      </c>
      <c r="Q158" s="14">
        <f>IF(K158&gt;0,(K158-H158)/K158,"")</f>
        <v/>
      </c>
      <c r="R158" s="44">
        <f>IF($A158="","",J158-H158)</f>
        <v/>
      </c>
      <c r="S158" s="44">
        <f>IF($A158="","",O158*H158)</f>
        <v/>
      </c>
      <c r="T158" s="44">
        <f>IF($A158="","",O158*J158)</f>
        <v/>
      </c>
      <c r="U158" s="45" t="n"/>
      <c r="V158" s="40" t="n"/>
      <c r="W158" s="40" t="n"/>
      <c r="X158" s="40" t="n"/>
      <c r="Y158" s="40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5" t="n"/>
      <c r="I159" s="35" t="n"/>
      <c r="J159" s="35" t="n"/>
      <c r="K159" s="35" t="n"/>
      <c r="L159" s="35" t="n"/>
      <c r="M159" s="36" t="n"/>
      <c r="N159" s="37">
        <f>IF($A159="","",IFERROR(SUMIFS('Sales Log'!$E$4:$E$503,'Sales Log'!$C$4:$C$503,$A159),0))</f>
        <v/>
      </c>
      <c r="O159" s="16">
        <f>IF($A159="","",M159-N159)</f>
        <v/>
      </c>
      <c r="P159" s="18">
        <f>IF(J159&gt;0,(J159-H159)/J159,"")</f>
        <v/>
      </c>
      <c r="Q159" s="18">
        <f>IF(K159&gt;0,(K159-H159)/K159,"")</f>
        <v/>
      </c>
      <c r="R159" s="38">
        <f>IF($A159="","",J159-H159)</f>
        <v/>
      </c>
      <c r="S159" s="38">
        <f>IF($A159="","",O159*H159)</f>
        <v/>
      </c>
      <c r="T159" s="38">
        <f>IF($A159="","",O159*J159)</f>
        <v/>
      </c>
      <c r="U159" s="39" t="n"/>
      <c r="V159" s="34" t="n"/>
      <c r="W159" s="34" t="n"/>
      <c r="X159" s="34" t="n"/>
      <c r="Y159" s="34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1" t="n"/>
      <c r="I160" s="41" t="n"/>
      <c r="J160" s="41" t="n"/>
      <c r="K160" s="41" t="n"/>
      <c r="L160" s="41" t="n"/>
      <c r="M160" s="42" t="n"/>
      <c r="N160" s="43">
        <f>IF($A160="","",IFERROR(SUMIFS('Sales Log'!$E$4:$E$503,'Sales Log'!$C$4:$C$503,$A160),0))</f>
        <v/>
      </c>
      <c r="O160" s="12">
        <f>IF($A160="","",M160-N160)</f>
        <v/>
      </c>
      <c r="P160" s="14">
        <f>IF(J160&gt;0,(J160-H160)/J160,"")</f>
        <v/>
      </c>
      <c r="Q160" s="14">
        <f>IF(K160&gt;0,(K160-H160)/K160,"")</f>
        <v/>
      </c>
      <c r="R160" s="44">
        <f>IF($A160="","",J160-H160)</f>
        <v/>
      </c>
      <c r="S160" s="44">
        <f>IF($A160="","",O160*H160)</f>
        <v/>
      </c>
      <c r="T160" s="44">
        <f>IF($A160="","",O160*J160)</f>
        <v/>
      </c>
      <c r="U160" s="45" t="n"/>
      <c r="V160" s="40" t="n"/>
      <c r="W160" s="40" t="n"/>
      <c r="X160" s="40" t="n"/>
      <c r="Y160" s="40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5" t="n"/>
      <c r="I161" s="35" t="n"/>
      <c r="J161" s="35" t="n"/>
      <c r="K161" s="35" t="n"/>
      <c r="L161" s="35" t="n"/>
      <c r="M161" s="36" t="n"/>
      <c r="N161" s="37">
        <f>IF($A161="","",IFERROR(SUMIFS('Sales Log'!$E$4:$E$503,'Sales Log'!$C$4:$C$503,$A161),0))</f>
        <v/>
      </c>
      <c r="O161" s="16">
        <f>IF($A161="","",M161-N161)</f>
        <v/>
      </c>
      <c r="P161" s="18">
        <f>IF(J161&gt;0,(J161-H161)/J161,"")</f>
        <v/>
      </c>
      <c r="Q161" s="18">
        <f>IF(K161&gt;0,(K161-H161)/K161,"")</f>
        <v/>
      </c>
      <c r="R161" s="38">
        <f>IF($A161="","",J161-H161)</f>
        <v/>
      </c>
      <c r="S161" s="38">
        <f>IF($A161="","",O161*H161)</f>
        <v/>
      </c>
      <c r="T161" s="38">
        <f>IF($A161="","",O161*J161)</f>
        <v/>
      </c>
      <c r="U161" s="39" t="n"/>
      <c r="V161" s="34" t="n"/>
      <c r="W161" s="34" t="n"/>
      <c r="X161" s="34" t="n"/>
      <c r="Y161" s="34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1" t="n"/>
      <c r="I162" s="41" t="n"/>
      <c r="J162" s="41" t="n"/>
      <c r="K162" s="41" t="n"/>
      <c r="L162" s="41" t="n"/>
      <c r="M162" s="42" t="n"/>
      <c r="N162" s="43">
        <f>IF($A162="","",IFERROR(SUMIFS('Sales Log'!$E$4:$E$503,'Sales Log'!$C$4:$C$503,$A162),0))</f>
        <v/>
      </c>
      <c r="O162" s="12">
        <f>IF($A162="","",M162-N162)</f>
        <v/>
      </c>
      <c r="P162" s="14">
        <f>IF(J162&gt;0,(J162-H162)/J162,"")</f>
        <v/>
      </c>
      <c r="Q162" s="14">
        <f>IF(K162&gt;0,(K162-H162)/K162,"")</f>
        <v/>
      </c>
      <c r="R162" s="44">
        <f>IF($A162="","",J162-H162)</f>
        <v/>
      </c>
      <c r="S162" s="44">
        <f>IF($A162="","",O162*H162)</f>
        <v/>
      </c>
      <c r="T162" s="44">
        <f>IF($A162="","",O162*J162)</f>
        <v/>
      </c>
      <c r="U162" s="45" t="n"/>
      <c r="V162" s="40" t="n"/>
      <c r="W162" s="40" t="n"/>
      <c r="X162" s="40" t="n"/>
      <c r="Y162" s="40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5" t="n"/>
      <c r="I163" s="35" t="n"/>
      <c r="J163" s="35" t="n"/>
      <c r="K163" s="35" t="n"/>
      <c r="L163" s="35" t="n"/>
      <c r="M163" s="36" t="n"/>
      <c r="N163" s="37">
        <f>IF($A163="","",IFERROR(SUMIFS('Sales Log'!$E$4:$E$503,'Sales Log'!$C$4:$C$503,$A163),0))</f>
        <v/>
      </c>
      <c r="O163" s="16">
        <f>IF($A163="","",M163-N163)</f>
        <v/>
      </c>
      <c r="P163" s="18">
        <f>IF(J163&gt;0,(J163-H163)/J163,"")</f>
        <v/>
      </c>
      <c r="Q163" s="18">
        <f>IF(K163&gt;0,(K163-H163)/K163,"")</f>
        <v/>
      </c>
      <c r="R163" s="38">
        <f>IF($A163="","",J163-H163)</f>
        <v/>
      </c>
      <c r="S163" s="38">
        <f>IF($A163="","",O163*H163)</f>
        <v/>
      </c>
      <c r="T163" s="38">
        <f>IF($A163="","",O163*J163)</f>
        <v/>
      </c>
      <c r="U163" s="39" t="n"/>
      <c r="V163" s="34" t="n"/>
      <c r="W163" s="34" t="n"/>
      <c r="X163" s="34" t="n"/>
      <c r="Y163" s="34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1" t="n"/>
      <c r="I164" s="41" t="n"/>
      <c r="J164" s="41" t="n"/>
      <c r="K164" s="41" t="n"/>
      <c r="L164" s="41" t="n"/>
      <c r="M164" s="42" t="n"/>
      <c r="N164" s="43">
        <f>IF($A164="","",IFERROR(SUMIFS('Sales Log'!$E$4:$E$503,'Sales Log'!$C$4:$C$503,$A164),0))</f>
        <v/>
      </c>
      <c r="O164" s="12">
        <f>IF($A164="","",M164-N164)</f>
        <v/>
      </c>
      <c r="P164" s="14">
        <f>IF(J164&gt;0,(J164-H164)/J164,"")</f>
        <v/>
      </c>
      <c r="Q164" s="14">
        <f>IF(K164&gt;0,(K164-H164)/K164,"")</f>
        <v/>
      </c>
      <c r="R164" s="44">
        <f>IF($A164="","",J164-H164)</f>
        <v/>
      </c>
      <c r="S164" s="44">
        <f>IF($A164="","",O164*H164)</f>
        <v/>
      </c>
      <c r="T164" s="44">
        <f>IF($A164="","",O164*J164)</f>
        <v/>
      </c>
      <c r="U164" s="45" t="n"/>
      <c r="V164" s="40" t="n"/>
      <c r="W164" s="40" t="n"/>
      <c r="X164" s="40" t="n"/>
      <c r="Y164" s="40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5" t="n"/>
      <c r="I165" s="35" t="n"/>
      <c r="J165" s="35" t="n"/>
      <c r="K165" s="35" t="n"/>
      <c r="L165" s="35" t="n"/>
      <c r="M165" s="36" t="n"/>
      <c r="N165" s="37">
        <f>IF($A165="","",IFERROR(SUMIFS('Sales Log'!$E$4:$E$503,'Sales Log'!$C$4:$C$503,$A165),0))</f>
        <v/>
      </c>
      <c r="O165" s="16">
        <f>IF($A165="","",M165-N165)</f>
        <v/>
      </c>
      <c r="P165" s="18">
        <f>IF(J165&gt;0,(J165-H165)/J165,"")</f>
        <v/>
      </c>
      <c r="Q165" s="18">
        <f>IF(K165&gt;0,(K165-H165)/K165,"")</f>
        <v/>
      </c>
      <c r="R165" s="38">
        <f>IF($A165="","",J165-H165)</f>
        <v/>
      </c>
      <c r="S165" s="38">
        <f>IF($A165="","",O165*H165)</f>
        <v/>
      </c>
      <c r="T165" s="38">
        <f>IF($A165="","",O165*J165)</f>
        <v/>
      </c>
      <c r="U165" s="39" t="n"/>
      <c r="V165" s="34" t="n"/>
      <c r="W165" s="34" t="n"/>
      <c r="X165" s="34" t="n"/>
      <c r="Y165" s="34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1" t="n"/>
      <c r="I166" s="41" t="n"/>
      <c r="J166" s="41" t="n"/>
      <c r="K166" s="41" t="n"/>
      <c r="L166" s="41" t="n"/>
      <c r="M166" s="42" t="n"/>
      <c r="N166" s="43">
        <f>IF($A166="","",IFERROR(SUMIFS('Sales Log'!$E$4:$E$503,'Sales Log'!$C$4:$C$503,$A166),0))</f>
        <v/>
      </c>
      <c r="O166" s="12">
        <f>IF($A166="","",M166-N166)</f>
        <v/>
      </c>
      <c r="P166" s="14">
        <f>IF(J166&gt;0,(J166-H166)/J166,"")</f>
        <v/>
      </c>
      <c r="Q166" s="14">
        <f>IF(K166&gt;0,(K166-H166)/K166,"")</f>
        <v/>
      </c>
      <c r="R166" s="44">
        <f>IF($A166="","",J166-H166)</f>
        <v/>
      </c>
      <c r="S166" s="44">
        <f>IF($A166="","",O166*H166)</f>
        <v/>
      </c>
      <c r="T166" s="44">
        <f>IF($A166="","",O166*J166)</f>
        <v/>
      </c>
      <c r="U166" s="45" t="n"/>
      <c r="V166" s="40" t="n"/>
      <c r="W166" s="40" t="n"/>
      <c r="X166" s="40" t="n"/>
      <c r="Y166" s="40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5" t="n"/>
      <c r="I167" s="35" t="n"/>
      <c r="J167" s="35" t="n"/>
      <c r="K167" s="35" t="n"/>
      <c r="L167" s="35" t="n"/>
      <c r="M167" s="36" t="n"/>
      <c r="N167" s="37">
        <f>IF($A167="","",IFERROR(SUMIFS('Sales Log'!$E$4:$E$503,'Sales Log'!$C$4:$C$503,$A167),0))</f>
        <v/>
      </c>
      <c r="O167" s="16">
        <f>IF($A167="","",M167-N167)</f>
        <v/>
      </c>
      <c r="P167" s="18">
        <f>IF(J167&gt;0,(J167-H167)/J167,"")</f>
        <v/>
      </c>
      <c r="Q167" s="18">
        <f>IF(K167&gt;0,(K167-H167)/K167,"")</f>
        <v/>
      </c>
      <c r="R167" s="38">
        <f>IF($A167="","",J167-H167)</f>
        <v/>
      </c>
      <c r="S167" s="38">
        <f>IF($A167="","",O167*H167)</f>
        <v/>
      </c>
      <c r="T167" s="38">
        <f>IF($A167="","",O167*J167)</f>
        <v/>
      </c>
      <c r="U167" s="39" t="n"/>
      <c r="V167" s="34" t="n"/>
      <c r="W167" s="34" t="n"/>
      <c r="X167" s="34" t="n"/>
      <c r="Y167" s="34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1" t="n"/>
      <c r="I168" s="41" t="n"/>
      <c r="J168" s="41" t="n"/>
      <c r="K168" s="41" t="n"/>
      <c r="L168" s="41" t="n"/>
      <c r="M168" s="42" t="n"/>
      <c r="N168" s="43">
        <f>IF($A168="","",IFERROR(SUMIFS('Sales Log'!$E$4:$E$503,'Sales Log'!$C$4:$C$503,$A168),0))</f>
        <v/>
      </c>
      <c r="O168" s="12">
        <f>IF($A168="","",M168-N168)</f>
        <v/>
      </c>
      <c r="P168" s="14">
        <f>IF(J168&gt;0,(J168-H168)/J168,"")</f>
        <v/>
      </c>
      <c r="Q168" s="14">
        <f>IF(K168&gt;0,(K168-H168)/K168,"")</f>
        <v/>
      </c>
      <c r="R168" s="44">
        <f>IF($A168="","",J168-H168)</f>
        <v/>
      </c>
      <c r="S168" s="44">
        <f>IF($A168="","",O168*H168)</f>
        <v/>
      </c>
      <c r="T168" s="44">
        <f>IF($A168="","",O168*J168)</f>
        <v/>
      </c>
      <c r="U168" s="45" t="n"/>
      <c r="V168" s="40" t="n"/>
      <c r="W168" s="40" t="n"/>
      <c r="X168" s="40" t="n"/>
      <c r="Y168" s="40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5" t="n"/>
      <c r="I169" s="35" t="n"/>
      <c r="J169" s="35" t="n"/>
      <c r="K169" s="35" t="n"/>
      <c r="L169" s="35" t="n"/>
      <c r="M169" s="36" t="n"/>
      <c r="N169" s="37">
        <f>IF($A169="","",IFERROR(SUMIFS('Sales Log'!$E$4:$E$503,'Sales Log'!$C$4:$C$503,$A169),0))</f>
        <v/>
      </c>
      <c r="O169" s="16">
        <f>IF($A169="","",M169-N169)</f>
        <v/>
      </c>
      <c r="P169" s="18">
        <f>IF(J169&gt;0,(J169-H169)/J169,"")</f>
        <v/>
      </c>
      <c r="Q169" s="18">
        <f>IF(K169&gt;0,(K169-H169)/K169,"")</f>
        <v/>
      </c>
      <c r="R169" s="38">
        <f>IF($A169="","",J169-H169)</f>
        <v/>
      </c>
      <c r="S169" s="38">
        <f>IF($A169="","",O169*H169)</f>
        <v/>
      </c>
      <c r="T169" s="38">
        <f>IF($A169="","",O169*J169)</f>
        <v/>
      </c>
      <c r="U169" s="39" t="n"/>
      <c r="V169" s="34" t="n"/>
      <c r="W169" s="34" t="n"/>
      <c r="X169" s="34" t="n"/>
      <c r="Y169" s="34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1" t="n"/>
      <c r="I170" s="41" t="n"/>
      <c r="J170" s="41" t="n"/>
      <c r="K170" s="41" t="n"/>
      <c r="L170" s="41" t="n"/>
      <c r="M170" s="42" t="n"/>
      <c r="N170" s="43">
        <f>IF($A170="","",IFERROR(SUMIFS('Sales Log'!$E$4:$E$503,'Sales Log'!$C$4:$C$503,$A170),0))</f>
        <v/>
      </c>
      <c r="O170" s="12">
        <f>IF($A170="","",M170-N170)</f>
        <v/>
      </c>
      <c r="P170" s="14">
        <f>IF(J170&gt;0,(J170-H170)/J170,"")</f>
        <v/>
      </c>
      <c r="Q170" s="14">
        <f>IF(K170&gt;0,(K170-H170)/K170,"")</f>
        <v/>
      </c>
      <c r="R170" s="44">
        <f>IF($A170="","",J170-H170)</f>
        <v/>
      </c>
      <c r="S170" s="44">
        <f>IF($A170="","",O170*H170)</f>
        <v/>
      </c>
      <c r="T170" s="44">
        <f>IF($A170="","",O170*J170)</f>
        <v/>
      </c>
      <c r="U170" s="45" t="n"/>
      <c r="V170" s="40" t="n"/>
      <c r="W170" s="40" t="n"/>
      <c r="X170" s="40" t="n"/>
      <c r="Y170" s="40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5" t="n"/>
      <c r="I171" s="35" t="n"/>
      <c r="J171" s="35" t="n"/>
      <c r="K171" s="35" t="n"/>
      <c r="L171" s="35" t="n"/>
      <c r="M171" s="36" t="n"/>
      <c r="N171" s="37">
        <f>IF($A171="","",IFERROR(SUMIFS('Sales Log'!$E$4:$E$503,'Sales Log'!$C$4:$C$503,$A171),0))</f>
        <v/>
      </c>
      <c r="O171" s="16">
        <f>IF($A171="","",M171-N171)</f>
        <v/>
      </c>
      <c r="P171" s="18">
        <f>IF(J171&gt;0,(J171-H171)/J171,"")</f>
        <v/>
      </c>
      <c r="Q171" s="18">
        <f>IF(K171&gt;0,(K171-H171)/K171,"")</f>
        <v/>
      </c>
      <c r="R171" s="38">
        <f>IF($A171="","",J171-H171)</f>
        <v/>
      </c>
      <c r="S171" s="38">
        <f>IF($A171="","",O171*H171)</f>
        <v/>
      </c>
      <c r="T171" s="38">
        <f>IF($A171="","",O171*J171)</f>
        <v/>
      </c>
      <c r="U171" s="39" t="n"/>
      <c r="V171" s="34" t="n"/>
      <c r="W171" s="34" t="n"/>
      <c r="X171" s="34" t="n"/>
      <c r="Y171" s="34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1" t="n"/>
      <c r="I172" s="41" t="n"/>
      <c r="J172" s="41" t="n"/>
      <c r="K172" s="41" t="n"/>
      <c r="L172" s="41" t="n"/>
      <c r="M172" s="42" t="n"/>
      <c r="N172" s="43">
        <f>IF($A172="","",IFERROR(SUMIFS('Sales Log'!$E$4:$E$503,'Sales Log'!$C$4:$C$503,$A172),0))</f>
        <v/>
      </c>
      <c r="O172" s="12">
        <f>IF($A172="","",M172-N172)</f>
        <v/>
      </c>
      <c r="P172" s="14">
        <f>IF(J172&gt;0,(J172-H172)/J172,"")</f>
        <v/>
      </c>
      <c r="Q172" s="14">
        <f>IF(K172&gt;0,(K172-H172)/K172,"")</f>
        <v/>
      </c>
      <c r="R172" s="44">
        <f>IF($A172="","",J172-H172)</f>
        <v/>
      </c>
      <c r="S172" s="44">
        <f>IF($A172="","",O172*H172)</f>
        <v/>
      </c>
      <c r="T172" s="44">
        <f>IF($A172="","",O172*J172)</f>
        <v/>
      </c>
      <c r="U172" s="45" t="n"/>
      <c r="V172" s="40" t="n"/>
      <c r="W172" s="40" t="n"/>
      <c r="X172" s="40" t="n"/>
      <c r="Y172" s="40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5" t="n"/>
      <c r="I173" s="35" t="n"/>
      <c r="J173" s="35" t="n"/>
      <c r="K173" s="35" t="n"/>
      <c r="L173" s="35" t="n"/>
      <c r="M173" s="36" t="n"/>
      <c r="N173" s="37">
        <f>IF($A173="","",IFERROR(SUMIFS('Sales Log'!$E$4:$E$503,'Sales Log'!$C$4:$C$503,$A173),0))</f>
        <v/>
      </c>
      <c r="O173" s="16">
        <f>IF($A173="","",M173-N173)</f>
        <v/>
      </c>
      <c r="P173" s="18">
        <f>IF(J173&gt;0,(J173-H173)/J173,"")</f>
        <v/>
      </c>
      <c r="Q173" s="18">
        <f>IF(K173&gt;0,(K173-H173)/K173,"")</f>
        <v/>
      </c>
      <c r="R173" s="38">
        <f>IF($A173="","",J173-H173)</f>
        <v/>
      </c>
      <c r="S173" s="38">
        <f>IF($A173="","",O173*H173)</f>
        <v/>
      </c>
      <c r="T173" s="38">
        <f>IF($A173="","",O173*J173)</f>
        <v/>
      </c>
      <c r="U173" s="39" t="n"/>
      <c r="V173" s="34" t="n"/>
      <c r="W173" s="34" t="n"/>
      <c r="X173" s="34" t="n"/>
      <c r="Y173" s="34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1" t="n"/>
      <c r="I174" s="41" t="n"/>
      <c r="J174" s="41" t="n"/>
      <c r="K174" s="41" t="n"/>
      <c r="L174" s="41" t="n"/>
      <c r="M174" s="42" t="n"/>
      <c r="N174" s="43">
        <f>IF($A174="","",IFERROR(SUMIFS('Sales Log'!$E$4:$E$503,'Sales Log'!$C$4:$C$503,$A174),0))</f>
        <v/>
      </c>
      <c r="O174" s="12">
        <f>IF($A174="","",M174-N174)</f>
        <v/>
      </c>
      <c r="P174" s="14">
        <f>IF(J174&gt;0,(J174-H174)/J174,"")</f>
        <v/>
      </c>
      <c r="Q174" s="14">
        <f>IF(K174&gt;0,(K174-H174)/K174,"")</f>
        <v/>
      </c>
      <c r="R174" s="44">
        <f>IF($A174="","",J174-H174)</f>
        <v/>
      </c>
      <c r="S174" s="44">
        <f>IF($A174="","",O174*H174)</f>
        <v/>
      </c>
      <c r="T174" s="44">
        <f>IF($A174="","",O174*J174)</f>
        <v/>
      </c>
      <c r="U174" s="45" t="n"/>
      <c r="V174" s="40" t="n"/>
      <c r="W174" s="40" t="n"/>
      <c r="X174" s="40" t="n"/>
      <c r="Y174" s="40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5" t="n"/>
      <c r="I175" s="35" t="n"/>
      <c r="J175" s="35" t="n"/>
      <c r="K175" s="35" t="n"/>
      <c r="L175" s="35" t="n"/>
      <c r="M175" s="36" t="n"/>
      <c r="N175" s="37">
        <f>IF($A175="","",IFERROR(SUMIFS('Sales Log'!$E$4:$E$503,'Sales Log'!$C$4:$C$503,$A175),0))</f>
        <v/>
      </c>
      <c r="O175" s="16">
        <f>IF($A175="","",M175-N175)</f>
        <v/>
      </c>
      <c r="P175" s="18">
        <f>IF(J175&gt;0,(J175-H175)/J175,"")</f>
        <v/>
      </c>
      <c r="Q175" s="18">
        <f>IF(K175&gt;0,(K175-H175)/K175,"")</f>
        <v/>
      </c>
      <c r="R175" s="38">
        <f>IF($A175="","",J175-H175)</f>
        <v/>
      </c>
      <c r="S175" s="38">
        <f>IF($A175="","",O175*H175)</f>
        <v/>
      </c>
      <c r="T175" s="38">
        <f>IF($A175="","",O175*J175)</f>
        <v/>
      </c>
      <c r="U175" s="39" t="n"/>
      <c r="V175" s="34" t="n"/>
      <c r="W175" s="34" t="n"/>
      <c r="X175" s="34" t="n"/>
      <c r="Y175" s="34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1" t="n"/>
      <c r="I176" s="41" t="n"/>
      <c r="J176" s="41" t="n"/>
      <c r="K176" s="41" t="n"/>
      <c r="L176" s="41" t="n"/>
      <c r="M176" s="42" t="n"/>
      <c r="N176" s="43">
        <f>IF($A176="","",IFERROR(SUMIFS('Sales Log'!$E$4:$E$503,'Sales Log'!$C$4:$C$503,$A176),0))</f>
        <v/>
      </c>
      <c r="O176" s="12">
        <f>IF($A176="","",M176-N176)</f>
        <v/>
      </c>
      <c r="P176" s="14">
        <f>IF(J176&gt;0,(J176-H176)/J176,"")</f>
        <v/>
      </c>
      <c r="Q176" s="14">
        <f>IF(K176&gt;0,(K176-H176)/K176,"")</f>
        <v/>
      </c>
      <c r="R176" s="44">
        <f>IF($A176="","",J176-H176)</f>
        <v/>
      </c>
      <c r="S176" s="44">
        <f>IF($A176="","",O176*H176)</f>
        <v/>
      </c>
      <c r="T176" s="44">
        <f>IF($A176="","",O176*J176)</f>
        <v/>
      </c>
      <c r="U176" s="45" t="n"/>
      <c r="V176" s="40" t="n"/>
      <c r="W176" s="40" t="n"/>
      <c r="X176" s="40" t="n"/>
      <c r="Y176" s="40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5" t="n"/>
      <c r="I177" s="35" t="n"/>
      <c r="J177" s="35" t="n"/>
      <c r="K177" s="35" t="n"/>
      <c r="L177" s="35" t="n"/>
      <c r="M177" s="36" t="n"/>
      <c r="N177" s="37">
        <f>IF($A177="","",IFERROR(SUMIFS('Sales Log'!$E$4:$E$503,'Sales Log'!$C$4:$C$503,$A177),0))</f>
        <v/>
      </c>
      <c r="O177" s="16">
        <f>IF($A177="","",M177-N177)</f>
        <v/>
      </c>
      <c r="P177" s="18">
        <f>IF(J177&gt;0,(J177-H177)/J177,"")</f>
        <v/>
      </c>
      <c r="Q177" s="18">
        <f>IF(K177&gt;0,(K177-H177)/K177,"")</f>
        <v/>
      </c>
      <c r="R177" s="38">
        <f>IF($A177="","",J177-H177)</f>
        <v/>
      </c>
      <c r="S177" s="38">
        <f>IF($A177="","",O177*H177)</f>
        <v/>
      </c>
      <c r="T177" s="38">
        <f>IF($A177="","",O177*J177)</f>
        <v/>
      </c>
      <c r="U177" s="39" t="n"/>
      <c r="V177" s="34" t="n"/>
      <c r="W177" s="34" t="n"/>
      <c r="X177" s="34" t="n"/>
      <c r="Y177" s="34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1" t="n"/>
      <c r="I178" s="41" t="n"/>
      <c r="J178" s="41" t="n"/>
      <c r="K178" s="41" t="n"/>
      <c r="L178" s="41" t="n"/>
      <c r="M178" s="42" t="n"/>
      <c r="N178" s="43">
        <f>IF($A178="","",IFERROR(SUMIFS('Sales Log'!$E$4:$E$503,'Sales Log'!$C$4:$C$503,$A178),0))</f>
        <v/>
      </c>
      <c r="O178" s="12">
        <f>IF($A178="","",M178-N178)</f>
        <v/>
      </c>
      <c r="P178" s="14">
        <f>IF(J178&gt;0,(J178-H178)/J178,"")</f>
        <v/>
      </c>
      <c r="Q178" s="14">
        <f>IF(K178&gt;0,(K178-H178)/K178,"")</f>
        <v/>
      </c>
      <c r="R178" s="44">
        <f>IF($A178="","",J178-H178)</f>
        <v/>
      </c>
      <c r="S178" s="44">
        <f>IF($A178="","",O178*H178)</f>
        <v/>
      </c>
      <c r="T178" s="44">
        <f>IF($A178="","",O178*J178)</f>
        <v/>
      </c>
      <c r="U178" s="45" t="n"/>
      <c r="V178" s="40" t="n"/>
      <c r="W178" s="40" t="n"/>
      <c r="X178" s="40" t="n"/>
      <c r="Y178" s="40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5" t="n"/>
      <c r="I179" s="35" t="n"/>
      <c r="J179" s="35" t="n"/>
      <c r="K179" s="35" t="n"/>
      <c r="L179" s="35" t="n"/>
      <c r="M179" s="36" t="n"/>
      <c r="N179" s="37">
        <f>IF($A179="","",IFERROR(SUMIFS('Sales Log'!$E$4:$E$503,'Sales Log'!$C$4:$C$503,$A179),0))</f>
        <v/>
      </c>
      <c r="O179" s="16">
        <f>IF($A179="","",M179-N179)</f>
        <v/>
      </c>
      <c r="P179" s="18">
        <f>IF(J179&gt;0,(J179-H179)/J179,"")</f>
        <v/>
      </c>
      <c r="Q179" s="18">
        <f>IF(K179&gt;0,(K179-H179)/K179,"")</f>
        <v/>
      </c>
      <c r="R179" s="38">
        <f>IF($A179="","",J179-H179)</f>
        <v/>
      </c>
      <c r="S179" s="38">
        <f>IF($A179="","",O179*H179)</f>
        <v/>
      </c>
      <c r="T179" s="38">
        <f>IF($A179="","",O179*J179)</f>
        <v/>
      </c>
      <c r="U179" s="39" t="n"/>
      <c r="V179" s="34" t="n"/>
      <c r="W179" s="34" t="n"/>
      <c r="X179" s="34" t="n"/>
      <c r="Y179" s="34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1" t="n"/>
      <c r="I180" s="41" t="n"/>
      <c r="J180" s="41" t="n"/>
      <c r="K180" s="41" t="n"/>
      <c r="L180" s="41" t="n"/>
      <c r="M180" s="42" t="n"/>
      <c r="N180" s="43">
        <f>IF($A180="","",IFERROR(SUMIFS('Sales Log'!$E$4:$E$503,'Sales Log'!$C$4:$C$503,$A180),0))</f>
        <v/>
      </c>
      <c r="O180" s="12">
        <f>IF($A180="","",M180-N180)</f>
        <v/>
      </c>
      <c r="P180" s="14">
        <f>IF(J180&gt;0,(J180-H180)/J180,"")</f>
        <v/>
      </c>
      <c r="Q180" s="14">
        <f>IF(K180&gt;0,(K180-H180)/K180,"")</f>
        <v/>
      </c>
      <c r="R180" s="44">
        <f>IF($A180="","",J180-H180)</f>
        <v/>
      </c>
      <c r="S180" s="44">
        <f>IF($A180="","",O180*H180)</f>
        <v/>
      </c>
      <c r="T180" s="44">
        <f>IF($A180="","",O180*J180)</f>
        <v/>
      </c>
      <c r="U180" s="45" t="n"/>
      <c r="V180" s="40" t="n"/>
      <c r="W180" s="40" t="n"/>
      <c r="X180" s="40" t="n"/>
      <c r="Y180" s="40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5" t="n"/>
      <c r="I181" s="35" t="n"/>
      <c r="J181" s="35" t="n"/>
      <c r="K181" s="35" t="n"/>
      <c r="L181" s="35" t="n"/>
      <c r="M181" s="36" t="n"/>
      <c r="N181" s="37">
        <f>IF($A181="","",IFERROR(SUMIFS('Sales Log'!$E$4:$E$503,'Sales Log'!$C$4:$C$503,$A181),0))</f>
        <v/>
      </c>
      <c r="O181" s="16">
        <f>IF($A181="","",M181-N181)</f>
        <v/>
      </c>
      <c r="P181" s="18">
        <f>IF(J181&gt;0,(J181-H181)/J181,"")</f>
        <v/>
      </c>
      <c r="Q181" s="18">
        <f>IF(K181&gt;0,(K181-H181)/K181,"")</f>
        <v/>
      </c>
      <c r="R181" s="38">
        <f>IF($A181="","",J181-H181)</f>
        <v/>
      </c>
      <c r="S181" s="38">
        <f>IF($A181="","",O181*H181)</f>
        <v/>
      </c>
      <c r="T181" s="38">
        <f>IF($A181="","",O181*J181)</f>
        <v/>
      </c>
      <c r="U181" s="39" t="n"/>
      <c r="V181" s="34" t="n"/>
      <c r="W181" s="34" t="n"/>
      <c r="X181" s="34" t="n"/>
      <c r="Y181" s="34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1" t="n"/>
      <c r="I182" s="41" t="n"/>
      <c r="J182" s="41" t="n"/>
      <c r="K182" s="41" t="n"/>
      <c r="L182" s="41" t="n"/>
      <c r="M182" s="42" t="n"/>
      <c r="N182" s="43">
        <f>IF($A182="","",IFERROR(SUMIFS('Sales Log'!$E$4:$E$503,'Sales Log'!$C$4:$C$503,$A182),0))</f>
        <v/>
      </c>
      <c r="O182" s="12">
        <f>IF($A182="","",M182-N182)</f>
        <v/>
      </c>
      <c r="P182" s="14">
        <f>IF(J182&gt;0,(J182-H182)/J182,"")</f>
        <v/>
      </c>
      <c r="Q182" s="14">
        <f>IF(K182&gt;0,(K182-H182)/K182,"")</f>
        <v/>
      </c>
      <c r="R182" s="44">
        <f>IF($A182="","",J182-H182)</f>
        <v/>
      </c>
      <c r="S182" s="44">
        <f>IF($A182="","",O182*H182)</f>
        <v/>
      </c>
      <c r="T182" s="44">
        <f>IF($A182="","",O182*J182)</f>
        <v/>
      </c>
      <c r="U182" s="45" t="n"/>
      <c r="V182" s="40" t="n"/>
      <c r="W182" s="40" t="n"/>
      <c r="X182" s="40" t="n"/>
      <c r="Y182" s="40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5" t="n"/>
      <c r="I183" s="35" t="n"/>
      <c r="J183" s="35" t="n"/>
      <c r="K183" s="35" t="n"/>
      <c r="L183" s="35" t="n"/>
      <c r="M183" s="36" t="n"/>
      <c r="N183" s="37">
        <f>IF($A183="","",IFERROR(SUMIFS('Sales Log'!$E$4:$E$503,'Sales Log'!$C$4:$C$503,$A183),0))</f>
        <v/>
      </c>
      <c r="O183" s="16">
        <f>IF($A183="","",M183-N183)</f>
        <v/>
      </c>
      <c r="P183" s="18">
        <f>IF(J183&gt;0,(J183-H183)/J183,"")</f>
        <v/>
      </c>
      <c r="Q183" s="18">
        <f>IF(K183&gt;0,(K183-H183)/K183,"")</f>
        <v/>
      </c>
      <c r="R183" s="38">
        <f>IF($A183="","",J183-H183)</f>
        <v/>
      </c>
      <c r="S183" s="38">
        <f>IF($A183="","",O183*H183)</f>
        <v/>
      </c>
      <c r="T183" s="38">
        <f>IF($A183="","",O183*J183)</f>
        <v/>
      </c>
      <c r="U183" s="39" t="n"/>
      <c r="V183" s="34" t="n"/>
      <c r="W183" s="34" t="n"/>
      <c r="X183" s="34" t="n"/>
      <c r="Y183" s="34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1" t="n"/>
      <c r="I184" s="41" t="n"/>
      <c r="J184" s="41" t="n"/>
      <c r="K184" s="41" t="n"/>
      <c r="L184" s="41" t="n"/>
      <c r="M184" s="42" t="n"/>
      <c r="N184" s="43">
        <f>IF($A184="","",IFERROR(SUMIFS('Sales Log'!$E$4:$E$503,'Sales Log'!$C$4:$C$503,$A184),0))</f>
        <v/>
      </c>
      <c r="O184" s="12">
        <f>IF($A184="","",M184-N184)</f>
        <v/>
      </c>
      <c r="P184" s="14">
        <f>IF(J184&gt;0,(J184-H184)/J184,"")</f>
        <v/>
      </c>
      <c r="Q184" s="14">
        <f>IF(K184&gt;0,(K184-H184)/K184,"")</f>
        <v/>
      </c>
      <c r="R184" s="44">
        <f>IF($A184="","",J184-H184)</f>
        <v/>
      </c>
      <c r="S184" s="44">
        <f>IF($A184="","",O184*H184)</f>
        <v/>
      </c>
      <c r="T184" s="44">
        <f>IF($A184="","",O184*J184)</f>
        <v/>
      </c>
      <c r="U184" s="45" t="n"/>
      <c r="V184" s="40" t="n"/>
      <c r="W184" s="40" t="n"/>
      <c r="X184" s="40" t="n"/>
      <c r="Y184" s="40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5" t="n"/>
      <c r="I185" s="35" t="n"/>
      <c r="J185" s="35" t="n"/>
      <c r="K185" s="35" t="n"/>
      <c r="L185" s="35" t="n"/>
      <c r="M185" s="36" t="n"/>
      <c r="N185" s="37">
        <f>IF($A185="","",IFERROR(SUMIFS('Sales Log'!$E$4:$E$503,'Sales Log'!$C$4:$C$503,$A185),0))</f>
        <v/>
      </c>
      <c r="O185" s="16">
        <f>IF($A185="","",M185-N185)</f>
        <v/>
      </c>
      <c r="P185" s="18">
        <f>IF(J185&gt;0,(J185-H185)/J185,"")</f>
        <v/>
      </c>
      <c r="Q185" s="18">
        <f>IF(K185&gt;0,(K185-H185)/K185,"")</f>
        <v/>
      </c>
      <c r="R185" s="38">
        <f>IF($A185="","",J185-H185)</f>
        <v/>
      </c>
      <c r="S185" s="38">
        <f>IF($A185="","",O185*H185)</f>
        <v/>
      </c>
      <c r="T185" s="38">
        <f>IF($A185="","",O185*J185)</f>
        <v/>
      </c>
      <c r="U185" s="39" t="n"/>
      <c r="V185" s="34" t="n"/>
      <c r="W185" s="34" t="n"/>
      <c r="X185" s="34" t="n"/>
      <c r="Y185" s="34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1" t="n"/>
      <c r="I186" s="41" t="n"/>
      <c r="J186" s="41" t="n"/>
      <c r="K186" s="41" t="n"/>
      <c r="L186" s="41" t="n"/>
      <c r="M186" s="42" t="n"/>
      <c r="N186" s="43">
        <f>IF($A186="","",IFERROR(SUMIFS('Sales Log'!$E$4:$E$503,'Sales Log'!$C$4:$C$503,$A186),0))</f>
        <v/>
      </c>
      <c r="O186" s="12">
        <f>IF($A186="","",M186-N186)</f>
        <v/>
      </c>
      <c r="P186" s="14">
        <f>IF(J186&gt;0,(J186-H186)/J186,"")</f>
        <v/>
      </c>
      <c r="Q186" s="14">
        <f>IF(K186&gt;0,(K186-H186)/K186,"")</f>
        <v/>
      </c>
      <c r="R186" s="44">
        <f>IF($A186="","",J186-H186)</f>
        <v/>
      </c>
      <c r="S186" s="44">
        <f>IF($A186="","",O186*H186)</f>
        <v/>
      </c>
      <c r="T186" s="44">
        <f>IF($A186="","",O186*J186)</f>
        <v/>
      </c>
      <c r="U186" s="45" t="n"/>
      <c r="V186" s="40" t="n"/>
      <c r="W186" s="40" t="n"/>
      <c r="X186" s="40" t="n"/>
      <c r="Y186" s="40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5" t="n"/>
      <c r="I187" s="35" t="n"/>
      <c r="J187" s="35" t="n"/>
      <c r="K187" s="35" t="n"/>
      <c r="L187" s="35" t="n"/>
      <c r="M187" s="36" t="n"/>
      <c r="N187" s="37">
        <f>IF($A187="","",IFERROR(SUMIFS('Sales Log'!$E$4:$E$503,'Sales Log'!$C$4:$C$503,$A187),0))</f>
        <v/>
      </c>
      <c r="O187" s="16">
        <f>IF($A187="","",M187-N187)</f>
        <v/>
      </c>
      <c r="P187" s="18">
        <f>IF(J187&gt;0,(J187-H187)/J187,"")</f>
        <v/>
      </c>
      <c r="Q187" s="18">
        <f>IF(K187&gt;0,(K187-H187)/K187,"")</f>
        <v/>
      </c>
      <c r="R187" s="38">
        <f>IF($A187="","",J187-H187)</f>
        <v/>
      </c>
      <c r="S187" s="38">
        <f>IF($A187="","",O187*H187)</f>
        <v/>
      </c>
      <c r="T187" s="38">
        <f>IF($A187="","",O187*J187)</f>
        <v/>
      </c>
      <c r="U187" s="39" t="n"/>
      <c r="V187" s="34" t="n"/>
      <c r="W187" s="34" t="n"/>
      <c r="X187" s="34" t="n"/>
      <c r="Y187" s="34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1" t="n"/>
      <c r="I188" s="41" t="n"/>
      <c r="J188" s="41" t="n"/>
      <c r="K188" s="41" t="n"/>
      <c r="L188" s="41" t="n"/>
      <c r="M188" s="42" t="n"/>
      <c r="N188" s="43">
        <f>IF($A188="","",IFERROR(SUMIFS('Sales Log'!$E$4:$E$503,'Sales Log'!$C$4:$C$503,$A188),0))</f>
        <v/>
      </c>
      <c r="O188" s="12">
        <f>IF($A188="","",M188-N188)</f>
        <v/>
      </c>
      <c r="P188" s="14">
        <f>IF(J188&gt;0,(J188-H188)/J188,"")</f>
        <v/>
      </c>
      <c r="Q188" s="14">
        <f>IF(K188&gt;0,(K188-H188)/K188,"")</f>
        <v/>
      </c>
      <c r="R188" s="44">
        <f>IF($A188="","",J188-H188)</f>
        <v/>
      </c>
      <c r="S188" s="44">
        <f>IF($A188="","",O188*H188)</f>
        <v/>
      </c>
      <c r="T188" s="44">
        <f>IF($A188="","",O188*J188)</f>
        <v/>
      </c>
      <c r="U188" s="45" t="n"/>
      <c r="V188" s="40" t="n"/>
      <c r="W188" s="40" t="n"/>
      <c r="X188" s="40" t="n"/>
      <c r="Y188" s="40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5" t="n"/>
      <c r="I189" s="35" t="n"/>
      <c r="J189" s="35" t="n"/>
      <c r="K189" s="35" t="n"/>
      <c r="L189" s="35" t="n"/>
      <c r="M189" s="36" t="n"/>
      <c r="N189" s="37">
        <f>IF($A189="","",IFERROR(SUMIFS('Sales Log'!$E$4:$E$503,'Sales Log'!$C$4:$C$503,$A189),0))</f>
        <v/>
      </c>
      <c r="O189" s="16">
        <f>IF($A189="","",M189-N189)</f>
        <v/>
      </c>
      <c r="P189" s="18">
        <f>IF(J189&gt;0,(J189-H189)/J189,"")</f>
        <v/>
      </c>
      <c r="Q189" s="18">
        <f>IF(K189&gt;0,(K189-H189)/K189,"")</f>
        <v/>
      </c>
      <c r="R189" s="38">
        <f>IF($A189="","",J189-H189)</f>
        <v/>
      </c>
      <c r="S189" s="38">
        <f>IF($A189="","",O189*H189)</f>
        <v/>
      </c>
      <c r="T189" s="38">
        <f>IF($A189="","",O189*J189)</f>
        <v/>
      </c>
      <c r="U189" s="39" t="n"/>
      <c r="V189" s="34" t="n"/>
      <c r="W189" s="34" t="n"/>
      <c r="X189" s="34" t="n"/>
      <c r="Y189" s="34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1" t="n"/>
      <c r="I190" s="41" t="n"/>
      <c r="J190" s="41" t="n"/>
      <c r="K190" s="41" t="n"/>
      <c r="L190" s="41" t="n"/>
      <c r="M190" s="42" t="n"/>
      <c r="N190" s="43">
        <f>IF($A190="","",IFERROR(SUMIFS('Sales Log'!$E$4:$E$503,'Sales Log'!$C$4:$C$503,$A190),0))</f>
        <v/>
      </c>
      <c r="O190" s="12">
        <f>IF($A190="","",M190-N190)</f>
        <v/>
      </c>
      <c r="P190" s="14">
        <f>IF(J190&gt;0,(J190-H190)/J190,"")</f>
        <v/>
      </c>
      <c r="Q190" s="14">
        <f>IF(K190&gt;0,(K190-H190)/K190,"")</f>
        <v/>
      </c>
      <c r="R190" s="44">
        <f>IF($A190="","",J190-H190)</f>
        <v/>
      </c>
      <c r="S190" s="44">
        <f>IF($A190="","",O190*H190)</f>
        <v/>
      </c>
      <c r="T190" s="44">
        <f>IF($A190="","",O190*J190)</f>
        <v/>
      </c>
      <c r="U190" s="45" t="n"/>
      <c r="V190" s="40" t="n"/>
      <c r="W190" s="40" t="n"/>
      <c r="X190" s="40" t="n"/>
      <c r="Y190" s="40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5" t="n"/>
      <c r="I191" s="35" t="n"/>
      <c r="J191" s="35" t="n"/>
      <c r="K191" s="35" t="n"/>
      <c r="L191" s="35" t="n"/>
      <c r="M191" s="36" t="n"/>
      <c r="N191" s="37">
        <f>IF($A191="","",IFERROR(SUMIFS('Sales Log'!$E$4:$E$503,'Sales Log'!$C$4:$C$503,$A191),0))</f>
        <v/>
      </c>
      <c r="O191" s="16">
        <f>IF($A191="","",M191-N191)</f>
        <v/>
      </c>
      <c r="P191" s="18">
        <f>IF(J191&gt;0,(J191-H191)/J191,"")</f>
        <v/>
      </c>
      <c r="Q191" s="18">
        <f>IF(K191&gt;0,(K191-H191)/K191,"")</f>
        <v/>
      </c>
      <c r="R191" s="38">
        <f>IF($A191="","",J191-H191)</f>
        <v/>
      </c>
      <c r="S191" s="38">
        <f>IF($A191="","",O191*H191)</f>
        <v/>
      </c>
      <c r="T191" s="38">
        <f>IF($A191="","",O191*J191)</f>
        <v/>
      </c>
      <c r="U191" s="39" t="n"/>
      <c r="V191" s="34" t="n"/>
      <c r="W191" s="34" t="n"/>
      <c r="X191" s="34" t="n"/>
      <c r="Y191" s="34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1" t="n"/>
      <c r="I192" s="41" t="n"/>
      <c r="J192" s="41" t="n"/>
      <c r="K192" s="41" t="n"/>
      <c r="L192" s="41" t="n"/>
      <c r="M192" s="42" t="n"/>
      <c r="N192" s="43">
        <f>IF($A192="","",IFERROR(SUMIFS('Sales Log'!$E$4:$E$503,'Sales Log'!$C$4:$C$503,$A192),0))</f>
        <v/>
      </c>
      <c r="O192" s="12">
        <f>IF($A192="","",M192-N192)</f>
        <v/>
      </c>
      <c r="P192" s="14">
        <f>IF(J192&gt;0,(J192-H192)/J192,"")</f>
        <v/>
      </c>
      <c r="Q192" s="14">
        <f>IF(K192&gt;0,(K192-H192)/K192,"")</f>
        <v/>
      </c>
      <c r="R192" s="44">
        <f>IF($A192="","",J192-H192)</f>
        <v/>
      </c>
      <c r="S192" s="44">
        <f>IF($A192="","",O192*H192)</f>
        <v/>
      </c>
      <c r="T192" s="44">
        <f>IF($A192="","",O192*J192)</f>
        <v/>
      </c>
      <c r="U192" s="45" t="n"/>
      <c r="V192" s="40" t="n"/>
      <c r="W192" s="40" t="n"/>
      <c r="X192" s="40" t="n"/>
      <c r="Y192" s="40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5" t="n"/>
      <c r="I193" s="35" t="n"/>
      <c r="J193" s="35" t="n"/>
      <c r="K193" s="35" t="n"/>
      <c r="L193" s="35" t="n"/>
      <c r="M193" s="36" t="n"/>
      <c r="N193" s="37">
        <f>IF($A193="","",IFERROR(SUMIFS('Sales Log'!$E$4:$E$503,'Sales Log'!$C$4:$C$503,$A193),0))</f>
        <v/>
      </c>
      <c r="O193" s="16">
        <f>IF($A193="","",M193-N193)</f>
        <v/>
      </c>
      <c r="P193" s="18">
        <f>IF(J193&gt;0,(J193-H193)/J193,"")</f>
        <v/>
      </c>
      <c r="Q193" s="18">
        <f>IF(K193&gt;0,(K193-H193)/K193,"")</f>
        <v/>
      </c>
      <c r="R193" s="38">
        <f>IF($A193="","",J193-H193)</f>
        <v/>
      </c>
      <c r="S193" s="38">
        <f>IF($A193="","",O193*H193)</f>
        <v/>
      </c>
      <c r="T193" s="38">
        <f>IF($A193="","",O193*J193)</f>
        <v/>
      </c>
      <c r="U193" s="39" t="n"/>
      <c r="V193" s="34" t="n"/>
      <c r="W193" s="34" t="n"/>
      <c r="X193" s="34" t="n"/>
      <c r="Y193" s="34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1" t="n"/>
      <c r="I194" s="41" t="n"/>
      <c r="J194" s="41" t="n"/>
      <c r="K194" s="41" t="n"/>
      <c r="L194" s="41" t="n"/>
      <c r="M194" s="42" t="n"/>
      <c r="N194" s="43">
        <f>IF($A194="","",IFERROR(SUMIFS('Sales Log'!$E$4:$E$503,'Sales Log'!$C$4:$C$503,$A194),0))</f>
        <v/>
      </c>
      <c r="O194" s="12">
        <f>IF($A194="","",M194-N194)</f>
        <v/>
      </c>
      <c r="P194" s="14">
        <f>IF(J194&gt;0,(J194-H194)/J194,"")</f>
        <v/>
      </c>
      <c r="Q194" s="14">
        <f>IF(K194&gt;0,(K194-H194)/K194,"")</f>
        <v/>
      </c>
      <c r="R194" s="44">
        <f>IF($A194="","",J194-H194)</f>
        <v/>
      </c>
      <c r="S194" s="44">
        <f>IF($A194="","",O194*H194)</f>
        <v/>
      </c>
      <c r="T194" s="44">
        <f>IF($A194="","",O194*J194)</f>
        <v/>
      </c>
      <c r="U194" s="45" t="n"/>
      <c r="V194" s="40" t="n"/>
      <c r="W194" s="40" t="n"/>
      <c r="X194" s="40" t="n"/>
      <c r="Y194" s="40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5" t="n"/>
      <c r="I195" s="35" t="n"/>
      <c r="J195" s="35" t="n"/>
      <c r="K195" s="35" t="n"/>
      <c r="L195" s="35" t="n"/>
      <c r="M195" s="36" t="n"/>
      <c r="N195" s="37">
        <f>IF($A195="","",IFERROR(SUMIFS('Sales Log'!$E$4:$E$503,'Sales Log'!$C$4:$C$503,$A195),0))</f>
        <v/>
      </c>
      <c r="O195" s="16">
        <f>IF($A195="","",M195-N195)</f>
        <v/>
      </c>
      <c r="P195" s="18">
        <f>IF(J195&gt;0,(J195-H195)/J195,"")</f>
        <v/>
      </c>
      <c r="Q195" s="18">
        <f>IF(K195&gt;0,(K195-H195)/K195,"")</f>
        <v/>
      </c>
      <c r="R195" s="38">
        <f>IF($A195="","",J195-H195)</f>
        <v/>
      </c>
      <c r="S195" s="38">
        <f>IF($A195="","",O195*H195)</f>
        <v/>
      </c>
      <c r="T195" s="38">
        <f>IF($A195="","",O195*J195)</f>
        <v/>
      </c>
      <c r="U195" s="39" t="n"/>
      <c r="V195" s="34" t="n"/>
      <c r="W195" s="34" t="n"/>
      <c r="X195" s="34" t="n"/>
      <c r="Y195" s="34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1" t="n"/>
      <c r="I196" s="41" t="n"/>
      <c r="J196" s="41" t="n"/>
      <c r="K196" s="41" t="n"/>
      <c r="L196" s="41" t="n"/>
      <c r="M196" s="42" t="n"/>
      <c r="N196" s="43">
        <f>IF($A196="","",IFERROR(SUMIFS('Sales Log'!$E$4:$E$503,'Sales Log'!$C$4:$C$503,$A196),0))</f>
        <v/>
      </c>
      <c r="O196" s="12">
        <f>IF($A196="","",M196-N196)</f>
        <v/>
      </c>
      <c r="P196" s="14">
        <f>IF(J196&gt;0,(J196-H196)/J196,"")</f>
        <v/>
      </c>
      <c r="Q196" s="14">
        <f>IF(K196&gt;0,(K196-H196)/K196,"")</f>
        <v/>
      </c>
      <c r="R196" s="44">
        <f>IF($A196="","",J196-H196)</f>
        <v/>
      </c>
      <c r="S196" s="44">
        <f>IF($A196="","",O196*H196)</f>
        <v/>
      </c>
      <c r="T196" s="44">
        <f>IF($A196="","",O196*J196)</f>
        <v/>
      </c>
      <c r="U196" s="45" t="n"/>
      <c r="V196" s="40" t="n"/>
      <c r="W196" s="40" t="n"/>
      <c r="X196" s="40" t="n"/>
      <c r="Y196" s="40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5" t="n"/>
      <c r="I197" s="35" t="n"/>
      <c r="J197" s="35" t="n"/>
      <c r="K197" s="35" t="n"/>
      <c r="L197" s="35" t="n"/>
      <c r="M197" s="36" t="n"/>
      <c r="N197" s="37">
        <f>IF($A197="","",IFERROR(SUMIFS('Sales Log'!$E$4:$E$503,'Sales Log'!$C$4:$C$503,$A197),0))</f>
        <v/>
      </c>
      <c r="O197" s="16">
        <f>IF($A197="","",M197-N197)</f>
        <v/>
      </c>
      <c r="P197" s="18">
        <f>IF(J197&gt;0,(J197-H197)/J197,"")</f>
        <v/>
      </c>
      <c r="Q197" s="18">
        <f>IF(K197&gt;0,(K197-H197)/K197,"")</f>
        <v/>
      </c>
      <c r="R197" s="38">
        <f>IF($A197="","",J197-H197)</f>
        <v/>
      </c>
      <c r="S197" s="38">
        <f>IF($A197="","",O197*H197)</f>
        <v/>
      </c>
      <c r="T197" s="38">
        <f>IF($A197="","",O197*J197)</f>
        <v/>
      </c>
      <c r="U197" s="39" t="n"/>
      <c r="V197" s="34" t="n"/>
      <c r="W197" s="34" t="n"/>
      <c r="X197" s="34" t="n"/>
      <c r="Y197" s="34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1" t="n"/>
      <c r="I198" s="41" t="n"/>
      <c r="J198" s="41" t="n"/>
      <c r="K198" s="41" t="n"/>
      <c r="L198" s="41" t="n"/>
      <c r="M198" s="42" t="n"/>
      <c r="N198" s="43">
        <f>IF($A198="","",IFERROR(SUMIFS('Sales Log'!$E$4:$E$503,'Sales Log'!$C$4:$C$503,$A198),0))</f>
        <v/>
      </c>
      <c r="O198" s="12">
        <f>IF($A198="","",M198-N198)</f>
        <v/>
      </c>
      <c r="P198" s="14">
        <f>IF(J198&gt;0,(J198-H198)/J198,"")</f>
        <v/>
      </c>
      <c r="Q198" s="14">
        <f>IF(K198&gt;0,(K198-H198)/K198,"")</f>
        <v/>
      </c>
      <c r="R198" s="44">
        <f>IF($A198="","",J198-H198)</f>
        <v/>
      </c>
      <c r="S198" s="44">
        <f>IF($A198="","",O198*H198)</f>
        <v/>
      </c>
      <c r="T198" s="44">
        <f>IF($A198="","",O198*J198)</f>
        <v/>
      </c>
      <c r="U198" s="45" t="n"/>
      <c r="V198" s="40" t="n"/>
      <c r="W198" s="40" t="n"/>
      <c r="X198" s="40" t="n"/>
      <c r="Y198" s="40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5" t="n"/>
      <c r="I199" s="35" t="n"/>
      <c r="J199" s="35" t="n"/>
      <c r="K199" s="35" t="n"/>
      <c r="L199" s="35" t="n"/>
      <c r="M199" s="36" t="n"/>
      <c r="N199" s="37">
        <f>IF($A199="","",IFERROR(SUMIFS('Sales Log'!$E$4:$E$503,'Sales Log'!$C$4:$C$503,$A199),0))</f>
        <v/>
      </c>
      <c r="O199" s="16">
        <f>IF($A199="","",M199-N199)</f>
        <v/>
      </c>
      <c r="P199" s="18">
        <f>IF(J199&gt;0,(J199-H199)/J199,"")</f>
        <v/>
      </c>
      <c r="Q199" s="18">
        <f>IF(K199&gt;0,(K199-H199)/K199,"")</f>
        <v/>
      </c>
      <c r="R199" s="38">
        <f>IF($A199="","",J199-H199)</f>
        <v/>
      </c>
      <c r="S199" s="38">
        <f>IF($A199="","",O199*H199)</f>
        <v/>
      </c>
      <c r="T199" s="38">
        <f>IF($A199="","",O199*J199)</f>
        <v/>
      </c>
      <c r="U199" s="39" t="n"/>
      <c r="V199" s="34" t="n"/>
      <c r="W199" s="34" t="n"/>
      <c r="X199" s="34" t="n"/>
      <c r="Y199" s="34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1" t="n"/>
      <c r="I200" s="41" t="n"/>
      <c r="J200" s="41" t="n"/>
      <c r="K200" s="41" t="n"/>
      <c r="L200" s="41" t="n"/>
      <c r="M200" s="42" t="n"/>
      <c r="N200" s="43">
        <f>IF($A200="","",IFERROR(SUMIFS('Sales Log'!$E$4:$E$503,'Sales Log'!$C$4:$C$503,$A200),0))</f>
        <v/>
      </c>
      <c r="O200" s="12">
        <f>IF($A200="","",M200-N200)</f>
        <v/>
      </c>
      <c r="P200" s="14">
        <f>IF(J200&gt;0,(J200-H200)/J200,"")</f>
        <v/>
      </c>
      <c r="Q200" s="14">
        <f>IF(K200&gt;0,(K200-H200)/K200,"")</f>
        <v/>
      </c>
      <c r="R200" s="44">
        <f>IF($A200="","",J200-H200)</f>
        <v/>
      </c>
      <c r="S200" s="44">
        <f>IF($A200="","",O200*H200)</f>
        <v/>
      </c>
      <c r="T200" s="44">
        <f>IF($A200="","",O200*J200)</f>
        <v/>
      </c>
      <c r="U200" s="45" t="n"/>
      <c r="V200" s="40" t="n"/>
      <c r="W200" s="40" t="n"/>
      <c r="X200" s="40" t="n"/>
      <c r="Y200" s="40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5" t="n"/>
      <c r="I201" s="35" t="n"/>
      <c r="J201" s="35" t="n"/>
      <c r="K201" s="35" t="n"/>
      <c r="L201" s="35" t="n"/>
      <c r="M201" s="36" t="n"/>
      <c r="N201" s="37">
        <f>IF($A201="","",IFERROR(SUMIFS('Sales Log'!$E$4:$E$503,'Sales Log'!$C$4:$C$503,$A201),0))</f>
        <v/>
      </c>
      <c r="O201" s="16">
        <f>IF($A201="","",M201-N201)</f>
        <v/>
      </c>
      <c r="P201" s="18">
        <f>IF(J201&gt;0,(J201-H201)/J201,"")</f>
        <v/>
      </c>
      <c r="Q201" s="18">
        <f>IF(K201&gt;0,(K201-H201)/K201,"")</f>
        <v/>
      </c>
      <c r="R201" s="38">
        <f>IF($A201="","",J201-H201)</f>
        <v/>
      </c>
      <c r="S201" s="38">
        <f>IF($A201="","",O201*H201)</f>
        <v/>
      </c>
      <c r="T201" s="38">
        <f>IF($A201="","",O201*J201)</f>
        <v/>
      </c>
      <c r="U201" s="39" t="n"/>
      <c r="V201" s="34" t="n"/>
      <c r="W201" s="34" t="n"/>
      <c r="X201" s="34" t="n"/>
      <c r="Y201" s="34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1" t="n"/>
      <c r="I202" s="41" t="n"/>
      <c r="J202" s="41" t="n"/>
      <c r="K202" s="41" t="n"/>
      <c r="L202" s="41" t="n"/>
      <c r="M202" s="42" t="n"/>
      <c r="N202" s="43">
        <f>IF($A202="","",IFERROR(SUMIFS('Sales Log'!$E$4:$E$503,'Sales Log'!$C$4:$C$503,$A202),0))</f>
        <v/>
      </c>
      <c r="O202" s="12">
        <f>IF($A202="","",M202-N202)</f>
        <v/>
      </c>
      <c r="P202" s="14">
        <f>IF(J202&gt;0,(J202-H202)/J202,"")</f>
        <v/>
      </c>
      <c r="Q202" s="14">
        <f>IF(K202&gt;0,(K202-H202)/K202,"")</f>
        <v/>
      </c>
      <c r="R202" s="44">
        <f>IF($A202="","",J202-H202)</f>
        <v/>
      </c>
      <c r="S202" s="44">
        <f>IF($A202="","",O202*H202)</f>
        <v/>
      </c>
      <c r="T202" s="44">
        <f>IF($A202="","",O202*J202)</f>
        <v/>
      </c>
      <c r="U202" s="45" t="n"/>
      <c r="V202" s="40" t="n"/>
      <c r="W202" s="40" t="n"/>
      <c r="X202" s="40" t="n"/>
      <c r="Y202" s="40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5" t="n"/>
      <c r="I203" s="35" t="n"/>
      <c r="J203" s="35" t="n"/>
      <c r="K203" s="35" t="n"/>
      <c r="L203" s="35" t="n"/>
      <c r="M203" s="36" t="n"/>
      <c r="N203" s="37">
        <f>IF($A203="","",IFERROR(SUMIFS('Sales Log'!$E$4:$E$503,'Sales Log'!$C$4:$C$503,$A203),0))</f>
        <v/>
      </c>
      <c r="O203" s="16">
        <f>IF($A203="","",M203-N203)</f>
        <v/>
      </c>
      <c r="P203" s="18">
        <f>IF(J203&gt;0,(J203-H203)/J203,"")</f>
        <v/>
      </c>
      <c r="Q203" s="18">
        <f>IF(K203&gt;0,(K203-H203)/K203,"")</f>
        <v/>
      </c>
      <c r="R203" s="38">
        <f>IF($A203="","",J203-H203)</f>
        <v/>
      </c>
      <c r="S203" s="38">
        <f>IF($A203="","",O203*H203)</f>
        <v/>
      </c>
      <c r="T203" s="38">
        <f>IF($A203="","",O203*J203)</f>
        <v/>
      </c>
      <c r="U203" s="39" t="n"/>
      <c r="V203" s="34" t="n"/>
      <c r="W203" s="34" t="n"/>
      <c r="X203" s="34" t="n"/>
      <c r="Y203" s="34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1" t="n"/>
      <c r="I204" s="41" t="n"/>
      <c r="J204" s="41" t="n"/>
      <c r="K204" s="41" t="n"/>
      <c r="L204" s="41" t="n"/>
      <c r="M204" s="42" t="n"/>
      <c r="N204" s="43">
        <f>IF($A204="","",IFERROR(SUMIFS('Sales Log'!$E$4:$E$503,'Sales Log'!$C$4:$C$503,$A204),0))</f>
        <v/>
      </c>
      <c r="O204" s="12">
        <f>IF($A204="","",M204-N204)</f>
        <v/>
      </c>
      <c r="P204" s="14">
        <f>IF(J204&gt;0,(J204-H204)/J204,"")</f>
        <v/>
      </c>
      <c r="Q204" s="14">
        <f>IF(K204&gt;0,(K204-H204)/K204,"")</f>
        <v/>
      </c>
      <c r="R204" s="44">
        <f>IF($A204="","",J204-H204)</f>
        <v/>
      </c>
      <c r="S204" s="44">
        <f>IF($A204="","",O204*H204)</f>
        <v/>
      </c>
      <c r="T204" s="44">
        <f>IF($A204="","",O204*J204)</f>
        <v/>
      </c>
      <c r="U204" s="45" t="n"/>
      <c r="V204" s="40" t="n"/>
      <c r="W204" s="40" t="n"/>
      <c r="X204" s="40" t="n"/>
      <c r="Y204" s="40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5" t="n"/>
      <c r="I205" s="35" t="n"/>
      <c r="J205" s="35" t="n"/>
      <c r="K205" s="35" t="n"/>
      <c r="L205" s="35" t="n"/>
      <c r="M205" s="36" t="n"/>
      <c r="N205" s="37">
        <f>IF($A205="","",IFERROR(SUMIFS('Sales Log'!$E$4:$E$503,'Sales Log'!$C$4:$C$503,$A205),0))</f>
        <v/>
      </c>
      <c r="O205" s="16">
        <f>IF($A205="","",M205-N205)</f>
        <v/>
      </c>
      <c r="P205" s="18">
        <f>IF(J205&gt;0,(J205-H205)/J205,"")</f>
        <v/>
      </c>
      <c r="Q205" s="18">
        <f>IF(K205&gt;0,(K205-H205)/K205,"")</f>
        <v/>
      </c>
      <c r="R205" s="38">
        <f>IF($A205="","",J205-H205)</f>
        <v/>
      </c>
      <c r="S205" s="38">
        <f>IF($A205="","",O205*H205)</f>
        <v/>
      </c>
      <c r="T205" s="38">
        <f>IF($A205="","",O205*J205)</f>
        <v/>
      </c>
      <c r="U205" s="39" t="n"/>
      <c r="V205" s="34" t="n"/>
      <c r="W205" s="34" t="n"/>
      <c r="X205" s="34" t="n"/>
      <c r="Y205" s="34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1" t="n"/>
      <c r="I206" s="41" t="n"/>
      <c r="J206" s="41" t="n"/>
      <c r="K206" s="41" t="n"/>
      <c r="L206" s="41" t="n"/>
      <c r="M206" s="42" t="n"/>
      <c r="N206" s="43">
        <f>IF($A206="","",IFERROR(SUMIFS('Sales Log'!$E$4:$E$503,'Sales Log'!$C$4:$C$503,$A206),0))</f>
        <v/>
      </c>
      <c r="O206" s="12">
        <f>IF($A206="","",M206-N206)</f>
        <v/>
      </c>
      <c r="P206" s="14">
        <f>IF(J206&gt;0,(J206-H206)/J206,"")</f>
        <v/>
      </c>
      <c r="Q206" s="14">
        <f>IF(K206&gt;0,(K206-H206)/K206,"")</f>
        <v/>
      </c>
      <c r="R206" s="44">
        <f>IF($A206="","",J206-H206)</f>
        <v/>
      </c>
      <c r="S206" s="44">
        <f>IF($A206="","",O206*H206)</f>
        <v/>
      </c>
      <c r="T206" s="44">
        <f>IF($A206="","",O206*J206)</f>
        <v/>
      </c>
      <c r="U206" s="45" t="n"/>
      <c r="V206" s="40" t="n"/>
      <c r="W206" s="40" t="n"/>
      <c r="X206" s="40" t="n"/>
      <c r="Y206" s="40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5" t="n"/>
      <c r="I207" s="35" t="n"/>
      <c r="J207" s="35" t="n"/>
      <c r="K207" s="35" t="n"/>
      <c r="L207" s="35" t="n"/>
      <c r="M207" s="36" t="n"/>
      <c r="N207" s="37">
        <f>IF($A207="","",IFERROR(SUMIFS('Sales Log'!$E$4:$E$503,'Sales Log'!$C$4:$C$503,$A207),0))</f>
        <v/>
      </c>
      <c r="O207" s="16">
        <f>IF($A207="","",M207-N207)</f>
        <v/>
      </c>
      <c r="P207" s="18">
        <f>IF(J207&gt;0,(J207-H207)/J207,"")</f>
        <v/>
      </c>
      <c r="Q207" s="18">
        <f>IF(K207&gt;0,(K207-H207)/K207,"")</f>
        <v/>
      </c>
      <c r="R207" s="38">
        <f>IF($A207="","",J207-H207)</f>
        <v/>
      </c>
      <c r="S207" s="38">
        <f>IF($A207="","",O207*H207)</f>
        <v/>
      </c>
      <c r="T207" s="38">
        <f>IF($A207="","",O207*J207)</f>
        <v/>
      </c>
      <c r="U207" s="39" t="n"/>
      <c r="V207" s="34" t="n"/>
      <c r="W207" s="34" t="n"/>
      <c r="X207" s="34" t="n"/>
      <c r="Y207" s="34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1" t="n"/>
      <c r="I208" s="41" t="n"/>
      <c r="J208" s="41" t="n"/>
      <c r="K208" s="41" t="n"/>
      <c r="L208" s="41" t="n"/>
      <c r="M208" s="42" t="n"/>
      <c r="N208" s="43">
        <f>IF($A208="","",IFERROR(SUMIFS('Sales Log'!$E$4:$E$503,'Sales Log'!$C$4:$C$503,$A208),0))</f>
        <v/>
      </c>
      <c r="O208" s="12">
        <f>IF($A208="","",M208-N208)</f>
        <v/>
      </c>
      <c r="P208" s="14">
        <f>IF(J208&gt;0,(J208-H208)/J208,"")</f>
        <v/>
      </c>
      <c r="Q208" s="14">
        <f>IF(K208&gt;0,(K208-H208)/K208,"")</f>
        <v/>
      </c>
      <c r="R208" s="44">
        <f>IF($A208="","",J208-H208)</f>
        <v/>
      </c>
      <c r="S208" s="44">
        <f>IF($A208="","",O208*H208)</f>
        <v/>
      </c>
      <c r="T208" s="44">
        <f>IF($A208="","",O208*J208)</f>
        <v/>
      </c>
      <c r="U208" s="45" t="n"/>
      <c r="V208" s="40" t="n"/>
      <c r="W208" s="40" t="n"/>
      <c r="X208" s="40" t="n"/>
      <c r="Y208" s="40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5" t="n"/>
      <c r="I209" s="35" t="n"/>
      <c r="J209" s="35" t="n"/>
      <c r="K209" s="35" t="n"/>
      <c r="L209" s="35" t="n"/>
      <c r="M209" s="36" t="n"/>
      <c r="N209" s="37">
        <f>IF($A209="","",IFERROR(SUMIFS('Sales Log'!$E$4:$E$503,'Sales Log'!$C$4:$C$503,$A209),0))</f>
        <v/>
      </c>
      <c r="O209" s="16">
        <f>IF($A209="","",M209-N209)</f>
        <v/>
      </c>
      <c r="P209" s="18">
        <f>IF(J209&gt;0,(J209-H209)/J209,"")</f>
        <v/>
      </c>
      <c r="Q209" s="18">
        <f>IF(K209&gt;0,(K209-H209)/K209,"")</f>
        <v/>
      </c>
      <c r="R209" s="38">
        <f>IF($A209="","",J209-H209)</f>
        <v/>
      </c>
      <c r="S209" s="38">
        <f>IF($A209="","",O209*H209)</f>
        <v/>
      </c>
      <c r="T209" s="38">
        <f>IF($A209="","",O209*J209)</f>
        <v/>
      </c>
      <c r="U209" s="39" t="n"/>
      <c r="V209" s="34" t="n"/>
      <c r="W209" s="34" t="n"/>
      <c r="X209" s="34" t="n"/>
      <c r="Y209" s="34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1" t="n"/>
      <c r="I210" s="41" t="n"/>
      <c r="J210" s="41" t="n"/>
      <c r="K210" s="41" t="n"/>
      <c r="L210" s="41" t="n"/>
      <c r="M210" s="42" t="n"/>
      <c r="N210" s="43">
        <f>IF($A210="","",IFERROR(SUMIFS('Sales Log'!$E$4:$E$503,'Sales Log'!$C$4:$C$503,$A210),0))</f>
        <v/>
      </c>
      <c r="O210" s="12">
        <f>IF($A210="","",M210-N210)</f>
        <v/>
      </c>
      <c r="P210" s="14">
        <f>IF(J210&gt;0,(J210-H210)/J210,"")</f>
        <v/>
      </c>
      <c r="Q210" s="14">
        <f>IF(K210&gt;0,(K210-H210)/K210,"")</f>
        <v/>
      </c>
      <c r="R210" s="44">
        <f>IF($A210="","",J210-H210)</f>
        <v/>
      </c>
      <c r="S210" s="44">
        <f>IF($A210="","",O210*H210)</f>
        <v/>
      </c>
      <c r="T210" s="44">
        <f>IF($A210="","",O210*J210)</f>
        <v/>
      </c>
      <c r="U210" s="45" t="n"/>
      <c r="V210" s="40" t="n"/>
      <c r="W210" s="40" t="n"/>
      <c r="X210" s="40" t="n"/>
      <c r="Y210" s="40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5" t="n"/>
      <c r="I211" s="35" t="n"/>
      <c r="J211" s="35" t="n"/>
      <c r="K211" s="35" t="n"/>
      <c r="L211" s="35" t="n"/>
      <c r="M211" s="36" t="n"/>
      <c r="N211" s="37">
        <f>IF($A211="","",IFERROR(SUMIFS('Sales Log'!$E$4:$E$503,'Sales Log'!$C$4:$C$503,$A211),0))</f>
        <v/>
      </c>
      <c r="O211" s="16">
        <f>IF($A211="","",M211-N211)</f>
        <v/>
      </c>
      <c r="P211" s="18">
        <f>IF(J211&gt;0,(J211-H211)/J211,"")</f>
        <v/>
      </c>
      <c r="Q211" s="18">
        <f>IF(K211&gt;0,(K211-H211)/K211,"")</f>
        <v/>
      </c>
      <c r="R211" s="38">
        <f>IF($A211="","",J211-H211)</f>
        <v/>
      </c>
      <c r="S211" s="38">
        <f>IF($A211="","",O211*H211)</f>
        <v/>
      </c>
      <c r="T211" s="38">
        <f>IF($A211="","",O211*J211)</f>
        <v/>
      </c>
      <c r="U211" s="39" t="n"/>
      <c r="V211" s="34" t="n"/>
      <c r="W211" s="34" t="n"/>
      <c r="X211" s="34" t="n"/>
      <c r="Y211" s="34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1" t="n"/>
      <c r="I212" s="41" t="n"/>
      <c r="J212" s="41" t="n"/>
      <c r="K212" s="41" t="n"/>
      <c r="L212" s="41" t="n"/>
      <c r="M212" s="42" t="n"/>
      <c r="N212" s="43">
        <f>IF($A212="","",IFERROR(SUMIFS('Sales Log'!$E$4:$E$503,'Sales Log'!$C$4:$C$503,$A212),0))</f>
        <v/>
      </c>
      <c r="O212" s="12">
        <f>IF($A212="","",M212-N212)</f>
        <v/>
      </c>
      <c r="P212" s="14">
        <f>IF(J212&gt;0,(J212-H212)/J212,"")</f>
        <v/>
      </c>
      <c r="Q212" s="14">
        <f>IF(K212&gt;0,(K212-H212)/K212,"")</f>
        <v/>
      </c>
      <c r="R212" s="44">
        <f>IF($A212="","",J212-H212)</f>
        <v/>
      </c>
      <c r="S212" s="44">
        <f>IF($A212="","",O212*H212)</f>
        <v/>
      </c>
      <c r="T212" s="44">
        <f>IF($A212="","",O212*J212)</f>
        <v/>
      </c>
      <c r="U212" s="45" t="n"/>
      <c r="V212" s="40" t="n"/>
      <c r="W212" s="40" t="n"/>
      <c r="X212" s="40" t="n"/>
      <c r="Y212" s="40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5" t="n"/>
      <c r="I213" s="35" t="n"/>
      <c r="J213" s="35" t="n"/>
      <c r="K213" s="35" t="n"/>
      <c r="L213" s="35" t="n"/>
      <c r="M213" s="36" t="n"/>
      <c r="N213" s="37">
        <f>IF($A213="","",IFERROR(SUMIFS('Sales Log'!$E$4:$E$503,'Sales Log'!$C$4:$C$503,$A213),0))</f>
        <v/>
      </c>
      <c r="O213" s="16">
        <f>IF($A213="","",M213-N213)</f>
        <v/>
      </c>
      <c r="P213" s="18">
        <f>IF(J213&gt;0,(J213-H213)/J213,"")</f>
        <v/>
      </c>
      <c r="Q213" s="18">
        <f>IF(K213&gt;0,(K213-H213)/K213,"")</f>
        <v/>
      </c>
      <c r="R213" s="38">
        <f>IF($A213="","",J213-H213)</f>
        <v/>
      </c>
      <c r="S213" s="38">
        <f>IF($A213="","",O213*H213)</f>
        <v/>
      </c>
      <c r="T213" s="38">
        <f>IF($A213="","",O213*J213)</f>
        <v/>
      </c>
      <c r="U213" s="39" t="n"/>
      <c r="V213" s="34" t="n"/>
      <c r="W213" s="34" t="n"/>
      <c r="X213" s="34" t="n"/>
      <c r="Y213" s="34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1" t="n"/>
      <c r="I214" s="41" t="n"/>
      <c r="J214" s="41" t="n"/>
      <c r="K214" s="41" t="n"/>
      <c r="L214" s="41" t="n"/>
      <c r="M214" s="42" t="n"/>
      <c r="N214" s="43">
        <f>IF($A214="","",IFERROR(SUMIFS('Sales Log'!$E$4:$E$503,'Sales Log'!$C$4:$C$503,$A214),0))</f>
        <v/>
      </c>
      <c r="O214" s="12">
        <f>IF($A214="","",M214-N214)</f>
        <v/>
      </c>
      <c r="P214" s="14">
        <f>IF(J214&gt;0,(J214-H214)/J214,"")</f>
        <v/>
      </c>
      <c r="Q214" s="14">
        <f>IF(K214&gt;0,(K214-H214)/K214,"")</f>
        <v/>
      </c>
      <c r="R214" s="44">
        <f>IF($A214="","",J214-H214)</f>
        <v/>
      </c>
      <c r="S214" s="44">
        <f>IF($A214="","",O214*H214)</f>
        <v/>
      </c>
      <c r="T214" s="44">
        <f>IF($A214="","",O214*J214)</f>
        <v/>
      </c>
      <c r="U214" s="45" t="n"/>
      <c r="V214" s="40" t="n"/>
      <c r="W214" s="40" t="n"/>
      <c r="X214" s="40" t="n"/>
      <c r="Y214" s="40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5" t="n"/>
      <c r="I215" s="35" t="n"/>
      <c r="J215" s="35" t="n"/>
      <c r="K215" s="35" t="n"/>
      <c r="L215" s="35" t="n"/>
      <c r="M215" s="36" t="n"/>
      <c r="N215" s="37">
        <f>IF($A215="","",IFERROR(SUMIFS('Sales Log'!$E$4:$E$503,'Sales Log'!$C$4:$C$503,$A215),0))</f>
        <v/>
      </c>
      <c r="O215" s="16">
        <f>IF($A215="","",M215-N215)</f>
        <v/>
      </c>
      <c r="P215" s="18">
        <f>IF(J215&gt;0,(J215-H215)/J215,"")</f>
        <v/>
      </c>
      <c r="Q215" s="18">
        <f>IF(K215&gt;0,(K215-H215)/K215,"")</f>
        <v/>
      </c>
      <c r="R215" s="38">
        <f>IF($A215="","",J215-H215)</f>
        <v/>
      </c>
      <c r="S215" s="38">
        <f>IF($A215="","",O215*H215)</f>
        <v/>
      </c>
      <c r="T215" s="38">
        <f>IF($A215="","",O215*J215)</f>
        <v/>
      </c>
      <c r="U215" s="39" t="n"/>
      <c r="V215" s="34" t="n"/>
      <c r="W215" s="34" t="n"/>
      <c r="X215" s="34" t="n"/>
      <c r="Y215" s="34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1" t="n"/>
      <c r="I216" s="41" t="n"/>
      <c r="J216" s="41" t="n"/>
      <c r="K216" s="41" t="n"/>
      <c r="L216" s="41" t="n"/>
      <c r="M216" s="42" t="n"/>
      <c r="N216" s="43">
        <f>IF($A216="","",IFERROR(SUMIFS('Sales Log'!$E$4:$E$503,'Sales Log'!$C$4:$C$503,$A216),0))</f>
        <v/>
      </c>
      <c r="O216" s="12">
        <f>IF($A216="","",M216-N216)</f>
        <v/>
      </c>
      <c r="P216" s="14">
        <f>IF(J216&gt;0,(J216-H216)/J216,"")</f>
        <v/>
      </c>
      <c r="Q216" s="14">
        <f>IF(K216&gt;0,(K216-H216)/K216,"")</f>
        <v/>
      </c>
      <c r="R216" s="44">
        <f>IF($A216="","",J216-H216)</f>
        <v/>
      </c>
      <c r="S216" s="44">
        <f>IF($A216="","",O216*H216)</f>
        <v/>
      </c>
      <c r="T216" s="44">
        <f>IF($A216="","",O216*J216)</f>
        <v/>
      </c>
      <c r="U216" s="45" t="n"/>
      <c r="V216" s="40" t="n"/>
      <c r="W216" s="40" t="n"/>
      <c r="X216" s="40" t="n"/>
      <c r="Y216" s="40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5" t="n"/>
      <c r="I217" s="35" t="n"/>
      <c r="J217" s="35" t="n"/>
      <c r="K217" s="35" t="n"/>
      <c r="L217" s="35" t="n"/>
      <c r="M217" s="36" t="n"/>
      <c r="N217" s="37">
        <f>IF($A217="","",IFERROR(SUMIFS('Sales Log'!$E$4:$E$503,'Sales Log'!$C$4:$C$503,$A217),0))</f>
        <v/>
      </c>
      <c r="O217" s="16">
        <f>IF($A217="","",M217-N217)</f>
        <v/>
      </c>
      <c r="P217" s="18">
        <f>IF(J217&gt;0,(J217-H217)/J217,"")</f>
        <v/>
      </c>
      <c r="Q217" s="18">
        <f>IF(K217&gt;0,(K217-H217)/K217,"")</f>
        <v/>
      </c>
      <c r="R217" s="38">
        <f>IF($A217="","",J217-H217)</f>
        <v/>
      </c>
      <c r="S217" s="38">
        <f>IF($A217="","",O217*H217)</f>
        <v/>
      </c>
      <c r="T217" s="38">
        <f>IF($A217="","",O217*J217)</f>
        <v/>
      </c>
      <c r="U217" s="39" t="n"/>
      <c r="V217" s="34" t="n"/>
      <c r="W217" s="34" t="n"/>
      <c r="X217" s="34" t="n"/>
      <c r="Y217" s="34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1" t="n"/>
      <c r="I218" s="41" t="n"/>
      <c r="J218" s="41" t="n"/>
      <c r="K218" s="41" t="n"/>
      <c r="L218" s="41" t="n"/>
      <c r="M218" s="42" t="n"/>
      <c r="N218" s="43">
        <f>IF($A218="","",IFERROR(SUMIFS('Sales Log'!$E$4:$E$503,'Sales Log'!$C$4:$C$503,$A218),0))</f>
        <v/>
      </c>
      <c r="O218" s="12">
        <f>IF($A218="","",M218-N218)</f>
        <v/>
      </c>
      <c r="P218" s="14">
        <f>IF(J218&gt;0,(J218-H218)/J218,"")</f>
        <v/>
      </c>
      <c r="Q218" s="14">
        <f>IF(K218&gt;0,(K218-H218)/K218,"")</f>
        <v/>
      </c>
      <c r="R218" s="44">
        <f>IF($A218="","",J218-H218)</f>
        <v/>
      </c>
      <c r="S218" s="44">
        <f>IF($A218="","",O218*H218)</f>
        <v/>
      </c>
      <c r="T218" s="44">
        <f>IF($A218="","",O218*J218)</f>
        <v/>
      </c>
      <c r="U218" s="45" t="n"/>
      <c r="V218" s="40" t="n"/>
      <c r="W218" s="40" t="n"/>
      <c r="X218" s="40" t="n"/>
      <c r="Y218" s="40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5" t="n"/>
      <c r="I219" s="35" t="n"/>
      <c r="J219" s="35" t="n"/>
      <c r="K219" s="35" t="n"/>
      <c r="L219" s="35" t="n"/>
      <c r="M219" s="36" t="n"/>
      <c r="N219" s="37">
        <f>IF($A219="","",IFERROR(SUMIFS('Sales Log'!$E$4:$E$503,'Sales Log'!$C$4:$C$503,$A219),0))</f>
        <v/>
      </c>
      <c r="O219" s="16">
        <f>IF($A219="","",M219-N219)</f>
        <v/>
      </c>
      <c r="P219" s="18">
        <f>IF(J219&gt;0,(J219-H219)/J219,"")</f>
        <v/>
      </c>
      <c r="Q219" s="18">
        <f>IF(K219&gt;0,(K219-H219)/K219,"")</f>
        <v/>
      </c>
      <c r="R219" s="38">
        <f>IF($A219="","",J219-H219)</f>
        <v/>
      </c>
      <c r="S219" s="38">
        <f>IF($A219="","",O219*H219)</f>
        <v/>
      </c>
      <c r="T219" s="38">
        <f>IF($A219="","",O219*J219)</f>
        <v/>
      </c>
      <c r="U219" s="39" t="n"/>
      <c r="V219" s="34" t="n"/>
      <c r="W219" s="34" t="n"/>
      <c r="X219" s="34" t="n"/>
      <c r="Y219" s="34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1" t="n"/>
      <c r="I220" s="41" t="n"/>
      <c r="J220" s="41" t="n"/>
      <c r="K220" s="41" t="n"/>
      <c r="L220" s="41" t="n"/>
      <c r="M220" s="42" t="n"/>
      <c r="N220" s="43">
        <f>IF($A220="","",IFERROR(SUMIFS('Sales Log'!$E$4:$E$503,'Sales Log'!$C$4:$C$503,$A220),0))</f>
        <v/>
      </c>
      <c r="O220" s="12">
        <f>IF($A220="","",M220-N220)</f>
        <v/>
      </c>
      <c r="P220" s="14">
        <f>IF(J220&gt;0,(J220-H220)/J220,"")</f>
        <v/>
      </c>
      <c r="Q220" s="14">
        <f>IF(K220&gt;0,(K220-H220)/K220,"")</f>
        <v/>
      </c>
      <c r="R220" s="44">
        <f>IF($A220="","",J220-H220)</f>
        <v/>
      </c>
      <c r="S220" s="44">
        <f>IF($A220="","",O220*H220)</f>
        <v/>
      </c>
      <c r="T220" s="44">
        <f>IF($A220="","",O220*J220)</f>
        <v/>
      </c>
      <c r="U220" s="45" t="n"/>
      <c r="V220" s="40" t="n"/>
      <c r="W220" s="40" t="n"/>
      <c r="X220" s="40" t="n"/>
      <c r="Y220" s="40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5" t="n"/>
      <c r="I221" s="35" t="n"/>
      <c r="J221" s="35" t="n"/>
      <c r="K221" s="35" t="n"/>
      <c r="L221" s="35" t="n"/>
      <c r="M221" s="36" t="n"/>
      <c r="N221" s="37">
        <f>IF($A221="","",IFERROR(SUMIFS('Sales Log'!$E$4:$E$503,'Sales Log'!$C$4:$C$503,$A221),0))</f>
        <v/>
      </c>
      <c r="O221" s="16">
        <f>IF($A221="","",M221-N221)</f>
        <v/>
      </c>
      <c r="P221" s="18">
        <f>IF(J221&gt;0,(J221-H221)/J221,"")</f>
        <v/>
      </c>
      <c r="Q221" s="18">
        <f>IF(K221&gt;0,(K221-H221)/K221,"")</f>
        <v/>
      </c>
      <c r="R221" s="38">
        <f>IF($A221="","",J221-H221)</f>
        <v/>
      </c>
      <c r="S221" s="38">
        <f>IF($A221="","",O221*H221)</f>
        <v/>
      </c>
      <c r="T221" s="38">
        <f>IF($A221="","",O221*J221)</f>
        <v/>
      </c>
      <c r="U221" s="39" t="n"/>
      <c r="V221" s="34" t="n"/>
      <c r="W221" s="34" t="n"/>
      <c r="X221" s="34" t="n"/>
      <c r="Y221" s="34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1" t="n"/>
      <c r="I222" s="41" t="n"/>
      <c r="J222" s="41" t="n"/>
      <c r="K222" s="41" t="n"/>
      <c r="L222" s="41" t="n"/>
      <c r="M222" s="42" t="n"/>
      <c r="N222" s="43">
        <f>IF($A222="","",IFERROR(SUMIFS('Sales Log'!$E$4:$E$503,'Sales Log'!$C$4:$C$503,$A222),0))</f>
        <v/>
      </c>
      <c r="O222" s="12">
        <f>IF($A222="","",M222-N222)</f>
        <v/>
      </c>
      <c r="P222" s="14">
        <f>IF(J222&gt;0,(J222-H222)/J222,"")</f>
        <v/>
      </c>
      <c r="Q222" s="14">
        <f>IF(K222&gt;0,(K222-H222)/K222,"")</f>
        <v/>
      </c>
      <c r="R222" s="44">
        <f>IF($A222="","",J222-H222)</f>
        <v/>
      </c>
      <c r="S222" s="44">
        <f>IF($A222="","",O222*H222)</f>
        <v/>
      </c>
      <c r="T222" s="44">
        <f>IF($A222="","",O222*J222)</f>
        <v/>
      </c>
      <c r="U222" s="45" t="n"/>
      <c r="V222" s="40" t="n"/>
      <c r="W222" s="40" t="n"/>
      <c r="X222" s="40" t="n"/>
      <c r="Y222" s="40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5" t="n"/>
      <c r="I223" s="35" t="n"/>
      <c r="J223" s="35" t="n"/>
      <c r="K223" s="35" t="n"/>
      <c r="L223" s="35" t="n"/>
      <c r="M223" s="36" t="n"/>
      <c r="N223" s="37">
        <f>IF($A223="","",IFERROR(SUMIFS('Sales Log'!$E$4:$E$503,'Sales Log'!$C$4:$C$503,$A223),0))</f>
        <v/>
      </c>
      <c r="O223" s="16">
        <f>IF($A223="","",M223-N223)</f>
        <v/>
      </c>
      <c r="P223" s="18">
        <f>IF(J223&gt;0,(J223-H223)/J223,"")</f>
        <v/>
      </c>
      <c r="Q223" s="18">
        <f>IF(K223&gt;0,(K223-H223)/K223,"")</f>
        <v/>
      </c>
      <c r="R223" s="38">
        <f>IF($A223="","",J223-H223)</f>
        <v/>
      </c>
      <c r="S223" s="38">
        <f>IF($A223="","",O223*H223)</f>
        <v/>
      </c>
      <c r="T223" s="38">
        <f>IF($A223="","",O223*J223)</f>
        <v/>
      </c>
      <c r="U223" s="39" t="n"/>
      <c r="V223" s="34" t="n"/>
      <c r="W223" s="34" t="n"/>
      <c r="X223" s="34" t="n"/>
      <c r="Y223" s="34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1" t="n"/>
      <c r="I224" s="41" t="n"/>
      <c r="J224" s="41" t="n"/>
      <c r="K224" s="41" t="n"/>
      <c r="L224" s="41" t="n"/>
      <c r="M224" s="42" t="n"/>
      <c r="N224" s="43">
        <f>IF($A224="","",IFERROR(SUMIFS('Sales Log'!$E$4:$E$503,'Sales Log'!$C$4:$C$503,$A224),0))</f>
        <v/>
      </c>
      <c r="O224" s="12">
        <f>IF($A224="","",M224-N224)</f>
        <v/>
      </c>
      <c r="P224" s="14">
        <f>IF(J224&gt;0,(J224-H224)/J224,"")</f>
        <v/>
      </c>
      <c r="Q224" s="14">
        <f>IF(K224&gt;0,(K224-H224)/K224,"")</f>
        <v/>
      </c>
      <c r="R224" s="44">
        <f>IF($A224="","",J224-H224)</f>
        <v/>
      </c>
      <c r="S224" s="44">
        <f>IF($A224="","",O224*H224)</f>
        <v/>
      </c>
      <c r="T224" s="44">
        <f>IF($A224="","",O224*J224)</f>
        <v/>
      </c>
      <c r="U224" s="45" t="n"/>
      <c r="V224" s="40" t="n"/>
      <c r="W224" s="40" t="n"/>
      <c r="X224" s="40" t="n"/>
      <c r="Y224" s="40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5" t="n"/>
      <c r="I225" s="35" t="n"/>
      <c r="J225" s="35" t="n"/>
      <c r="K225" s="35" t="n"/>
      <c r="L225" s="35" t="n"/>
      <c r="M225" s="36" t="n"/>
      <c r="N225" s="37">
        <f>IF($A225="","",IFERROR(SUMIFS('Sales Log'!$E$4:$E$503,'Sales Log'!$C$4:$C$503,$A225),0))</f>
        <v/>
      </c>
      <c r="O225" s="16">
        <f>IF($A225="","",M225-N225)</f>
        <v/>
      </c>
      <c r="P225" s="18">
        <f>IF(J225&gt;0,(J225-H225)/J225,"")</f>
        <v/>
      </c>
      <c r="Q225" s="18">
        <f>IF(K225&gt;0,(K225-H225)/K225,"")</f>
        <v/>
      </c>
      <c r="R225" s="38">
        <f>IF($A225="","",J225-H225)</f>
        <v/>
      </c>
      <c r="S225" s="38">
        <f>IF($A225="","",O225*H225)</f>
        <v/>
      </c>
      <c r="T225" s="38">
        <f>IF($A225="","",O225*J225)</f>
        <v/>
      </c>
      <c r="U225" s="39" t="n"/>
      <c r="V225" s="34" t="n"/>
      <c r="W225" s="34" t="n"/>
      <c r="X225" s="34" t="n"/>
      <c r="Y225" s="34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1" t="n"/>
      <c r="I226" s="41" t="n"/>
      <c r="J226" s="41" t="n"/>
      <c r="K226" s="41" t="n"/>
      <c r="L226" s="41" t="n"/>
      <c r="M226" s="42" t="n"/>
      <c r="N226" s="43">
        <f>IF($A226="","",IFERROR(SUMIFS('Sales Log'!$E$4:$E$503,'Sales Log'!$C$4:$C$503,$A226),0))</f>
        <v/>
      </c>
      <c r="O226" s="12">
        <f>IF($A226="","",M226-N226)</f>
        <v/>
      </c>
      <c r="P226" s="14">
        <f>IF(J226&gt;0,(J226-H226)/J226,"")</f>
        <v/>
      </c>
      <c r="Q226" s="14">
        <f>IF(K226&gt;0,(K226-H226)/K226,"")</f>
        <v/>
      </c>
      <c r="R226" s="44">
        <f>IF($A226="","",J226-H226)</f>
        <v/>
      </c>
      <c r="S226" s="44">
        <f>IF($A226="","",O226*H226)</f>
        <v/>
      </c>
      <c r="T226" s="44">
        <f>IF($A226="","",O226*J226)</f>
        <v/>
      </c>
      <c r="U226" s="45" t="n"/>
      <c r="V226" s="40" t="n"/>
      <c r="W226" s="40" t="n"/>
      <c r="X226" s="40" t="n"/>
      <c r="Y226" s="40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5" t="n"/>
      <c r="I227" s="35" t="n"/>
      <c r="J227" s="35" t="n"/>
      <c r="K227" s="35" t="n"/>
      <c r="L227" s="35" t="n"/>
      <c r="M227" s="36" t="n"/>
      <c r="N227" s="37">
        <f>IF($A227="","",IFERROR(SUMIFS('Sales Log'!$E$4:$E$503,'Sales Log'!$C$4:$C$503,$A227),0))</f>
        <v/>
      </c>
      <c r="O227" s="16">
        <f>IF($A227="","",M227-N227)</f>
        <v/>
      </c>
      <c r="P227" s="18">
        <f>IF(J227&gt;0,(J227-H227)/J227,"")</f>
        <v/>
      </c>
      <c r="Q227" s="18">
        <f>IF(K227&gt;0,(K227-H227)/K227,"")</f>
        <v/>
      </c>
      <c r="R227" s="38">
        <f>IF($A227="","",J227-H227)</f>
        <v/>
      </c>
      <c r="S227" s="38">
        <f>IF($A227="","",O227*H227)</f>
        <v/>
      </c>
      <c r="T227" s="38">
        <f>IF($A227="","",O227*J227)</f>
        <v/>
      </c>
      <c r="U227" s="39" t="n"/>
      <c r="V227" s="34" t="n"/>
      <c r="W227" s="34" t="n"/>
      <c r="X227" s="34" t="n"/>
      <c r="Y227" s="34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1" t="n"/>
      <c r="I228" s="41" t="n"/>
      <c r="J228" s="41" t="n"/>
      <c r="K228" s="41" t="n"/>
      <c r="L228" s="41" t="n"/>
      <c r="M228" s="42" t="n"/>
      <c r="N228" s="43">
        <f>IF($A228="","",IFERROR(SUMIFS('Sales Log'!$E$4:$E$503,'Sales Log'!$C$4:$C$503,$A228),0))</f>
        <v/>
      </c>
      <c r="O228" s="12">
        <f>IF($A228="","",M228-N228)</f>
        <v/>
      </c>
      <c r="P228" s="14">
        <f>IF(J228&gt;0,(J228-H228)/J228,"")</f>
        <v/>
      </c>
      <c r="Q228" s="14">
        <f>IF(K228&gt;0,(K228-H228)/K228,"")</f>
        <v/>
      </c>
      <c r="R228" s="44">
        <f>IF($A228="","",J228-H228)</f>
        <v/>
      </c>
      <c r="S228" s="44">
        <f>IF($A228="","",O228*H228)</f>
        <v/>
      </c>
      <c r="T228" s="44">
        <f>IF($A228="","",O228*J228)</f>
        <v/>
      </c>
      <c r="U228" s="45" t="n"/>
      <c r="V228" s="40" t="n"/>
      <c r="W228" s="40" t="n"/>
      <c r="X228" s="40" t="n"/>
      <c r="Y228" s="40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5" t="n"/>
      <c r="I229" s="35" t="n"/>
      <c r="J229" s="35" t="n"/>
      <c r="K229" s="35" t="n"/>
      <c r="L229" s="35" t="n"/>
      <c r="M229" s="36" t="n"/>
      <c r="N229" s="37">
        <f>IF($A229="","",IFERROR(SUMIFS('Sales Log'!$E$4:$E$503,'Sales Log'!$C$4:$C$503,$A229),0))</f>
        <v/>
      </c>
      <c r="O229" s="16">
        <f>IF($A229="","",M229-N229)</f>
        <v/>
      </c>
      <c r="P229" s="18">
        <f>IF(J229&gt;0,(J229-H229)/J229,"")</f>
        <v/>
      </c>
      <c r="Q229" s="18">
        <f>IF(K229&gt;0,(K229-H229)/K229,"")</f>
        <v/>
      </c>
      <c r="R229" s="38">
        <f>IF($A229="","",J229-H229)</f>
        <v/>
      </c>
      <c r="S229" s="38">
        <f>IF($A229="","",O229*H229)</f>
        <v/>
      </c>
      <c r="T229" s="38">
        <f>IF($A229="","",O229*J229)</f>
        <v/>
      </c>
      <c r="U229" s="39" t="n"/>
      <c r="V229" s="34" t="n"/>
      <c r="W229" s="34" t="n"/>
      <c r="X229" s="34" t="n"/>
      <c r="Y229" s="34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1" t="n"/>
      <c r="I230" s="41" t="n"/>
      <c r="J230" s="41" t="n"/>
      <c r="K230" s="41" t="n"/>
      <c r="L230" s="41" t="n"/>
      <c r="M230" s="42" t="n"/>
      <c r="N230" s="43">
        <f>IF($A230="","",IFERROR(SUMIFS('Sales Log'!$E$4:$E$503,'Sales Log'!$C$4:$C$503,$A230),0))</f>
        <v/>
      </c>
      <c r="O230" s="12">
        <f>IF($A230="","",M230-N230)</f>
        <v/>
      </c>
      <c r="P230" s="14">
        <f>IF(J230&gt;0,(J230-H230)/J230,"")</f>
        <v/>
      </c>
      <c r="Q230" s="14">
        <f>IF(K230&gt;0,(K230-H230)/K230,"")</f>
        <v/>
      </c>
      <c r="R230" s="44">
        <f>IF($A230="","",J230-H230)</f>
        <v/>
      </c>
      <c r="S230" s="44">
        <f>IF($A230="","",O230*H230)</f>
        <v/>
      </c>
      <c r="T230" s="44">
        <f>IF($A230="","",O230*J230)</f>
        <v/>
      </c>
      <c r="U230" s="45" t="n"/>
      <c r="V230" s="40" t="n"/>
      <c r="W230" s="40" t="n"/>
      <c r="X230" s="40" t="n"/>
      <c r="Y230" s="40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5" t="n"/>
      <c r="I231" s="35" t="n"/>
      <c r="J231" s="35" t="n"/>
      <c r="K231" s="35" t="n"/>
      <c r="L231" s="35" t="n"/>
      <c r="M231" s="36" t="n"/>
      <c r="N231" s="37">
        <f>IF($A231="","",IFERROR(SUMIFS('Sales Log'!$E$4:$E$503,'Sales Log'!$C$4:$C$503,$A231),0))</f>
        <v/>
      </c>
      <c r="O231" s="16">
        <f>IF($A231="","",M231-N231)</f>
        <v/>
      </c>
      <c r="P231" s="18">
        <f>IF(J231&gt;0,(J231-H231)/J231,"")</f>
        <v/>
      </c>
      <c r="Q231" s="18">
        <f>IF(K231&gt;0,(K231-H231)/K231,"")</f>
        <v/>
      </c>
      <c r="R231" s="38">
        <f>IF($A231="","",J231-H231)</f>
        <v/>
      </c>
      <c r="S231" s="38">
        <f>IF($A231="","",O231*H231)</f>
        <v/>
      </c>
      <c r="T231" s="38">
        <f>IF($A231="","",O231*J231)</f>
        <v/>
      </c>
      <c r="U231" s="39" t="n"/>
      <c r="V231" s="34" t="n"/>
      <c r="W231" s="34" t="n"/>
      <c r="X231" s="34" t="n"/>
      <c r="Y231" s="34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1" t="n"/>
      <c r="I232" s="41" t="n"/>
      <c r="J232" s="41" t="n"/>
      <c r="K232" s="41" t="n"/>
      <c r="L232" s="41" t="n"/>
      <c r="M232" s="42" t="n"/>
      <c r="N232" s="43">
        <f>IF($A232="","",IFERROR(SUMIFS('Sales Log'!$E$4:$E$503,'Sales Log'!$C$4:$C$503,$A232),0))</f>
        <v/>
      </c>
      <c r="O232" s="12">
        <f>IF($A232="","",M232-N232)</f>
        <v/>
      </c>
      <c r="P232" s="14">
        <f>IF(J232&gt;0,(J232-H232)/J232,"")</f>
        <v/>
      </c>
      <c r="Q232" s="14">
        <f>IF(K232&gt;0,(K232-H232)/K232,"")</f>
        <v/>
      </c>
      <c r="R232" s="44">
        <f>IF($A232="","",J232-H232)</f>
        <v/>
      </c>
      <c r="S232" s="44">
        <f>IF($A232="","",O232*H232)</f>
        <v/>
      </c>
      <c r="T232" s="44">
        <f>IF($A232="","",O232*J232)</f>
        <v/>
      </c>
      <c r="U232" s="45" t="n"/>
      <c r="V232" s="40" t="n"/>
      <c r="W232" s="40" t="n"/>
      <c r="X232" s="40" t="n"/>
      <c r="Y232" s="40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5" t="n"/>
      <c r="I233" s="35" t="n"/>
      <c r="J233" s="35" t="n"/>
      <c r="K233" s="35" t="n"/>
      <c r="L233" s="35" t="n"/>
      <c r="M233" s="36" t="n"/>
      <c r="N233" s="37">
        <f>IF($A233="","",IFERROR(SUMIFS('Sales Log'!$E$4:$E$503,'Sales Log'!$C$4:$C$503,$A233),0))</f>
        <v/>
      </c>
      <c r="O233" s="16">
        <f>IF($A233="","",M233-N233)</f>
        <v/>
      </c>
      <c r="P233" s="18">
        <f>IF(J233&gt;0,(J233-H233)/J233,"")</f>
        <v/>
      </c>
      <c r="Q233" s="18">
        <f>IF(K233&gt;0,(K233-H233)/K233,"")</f>
        <v/>
      </c>
      <c r="R233" s="38">
        <f>IF($A233="","",J233-H233)</f>
        <v/>
      </c>
      <c r="S233" s="38">
        <f>IF($A233="","",O233*H233)</f>
        <v/>
      </c>
      <c r="T233" s="38">
        <f>IF($A233="","",O233*J233)</f>
        <v/>
      </c>
      <c r="U233" s="39" t="n"/>
      <c r="V233" s="34" t="n"/>
      <c r="W233" s="34" t="n"/>
      <c r="X233" s="34" t="n"/>
      <c r="Y233" s="34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1" t="n"/>
      <c r="I234" s="41" t="n"/>
      <c r="J234" s="41" t="n"/>
      <c r="K234" s="41" t="n"/>
      <c r="L234" s="41" t="n"/>
      <c r="M234" s="42" t="n"/>
      <c r="N234" s="43">
        <f>IF($A234="","",IFERROR(SUMIFS('Sales Log'!$E$4:$E$503,'Sales Log'!$C$4:$C$503,$A234),0))</f>
        <v/>
      </c>
      <c r="O234" s="12">
        <f>IF($A234="","",M234-N234)</f>
        <v/>
      </c>
      <c r="P234" s="14">
        <f>IF(J234&gt;0,(J234-H234)/J234,"")</f>
        <v/>
      </c>
      <c r="Q234" s="14">
        <f>IF(K234&gt;0,(K234-H234)/K234,"")</f>
        <v/>
      </c>
      <c r="R234" s="44">
        <f>IF($A234="","",J234-H234)</f>
        <v/>
      </c>
      <c r="S234" s="44">
        <f>IF($A234="","",O234*H234)</f>
        <v/>
      </c>
      <c r="T234" s="44">
        <f>IF($A234="","",O234*J234)</f>
        <v/>
      </c>
      <c r="U234" s="45" t="n"/>
      <c r="V234" s="40" t="n"/>
      <c r="W234" s="40" t="n"/>
      <c r="X234" s="40" t="n"/>
      <c r="Y234" s="40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5" t="n"/>
      <c r="I235" s="35" t="n"/>
      <c r="J235" s="35" t="n"/>
      <c r="K235" s="35" t="n"/>
      <c r="L235" s="35" t="n"/>
      <c r="M235" s="36" t="n"/>
      <c r="N235" s="37">
        <f>IF($A235="","",IFERROR(SUMIFS('Sales Log'!$E$4:$E$503,'Sales Log'!$C$4:$C$503,$A235),0))</f>
        <v/>
      </c>
      <c r="O235" s="16">
        <f>IF($A235="","",M235-N235)</f>
        <v/>
      </c>
      <c r="P235" s="18">
        <f>IF(J235&gt;0,(J235-H235)/J235,"")</f>
        <v/>
      </c>
      <c r="Q235" s="18">
        <f>IF(K235&gt;0,(K235-H235)/K235,"")</f>
        <v/>
      </c>
      <c r="R235" s="38">
        <f>IF($A235="","",J235-H235)</f>
        <v/>
      </c>
      <c r="S235" s="38">
        <f>IF($A235="","",O235*H235)</f>
        <v/>
      </c>
      <c r="T235" s="38">
        <f>IF($A235="","",O235*J235)</f>
        <v/>
      </c>
      <c r="U235" s="39" t="n"/>
      <c r="V235" s="34" t="n"/>
      <c r="W235" s="34" t="n"/>
      <c r="X235" s="34" t="n"/>
      <c r="Y235" s="34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1" t="n"/>
      <c r="I236" s="41" t="n"/>
      <c r="J236" s="41" t="n"/>
      <c r="K236" s="41" t="n"/>
      <c r="L236" s="41" t="n"/>
      <c r="M236" s="42" t="n"/>
      <c r="N236" s="43">
        <f>IF($A236="","",IFERROR(SUMIFS('Sales Log'!$E$4:$E$503,'Sales Log'!$C$4:$C$503,$A236),0))</f>
        <v/>
      </c>
      <c r="O236" s="12">
        <f>IF($A236="","",M236-N236)</f>
        <v/>
      </c>
      <c r="P236" s="14">
        <f>IF(J236&gt;0,(J236-H236)/J236,"")</f>
        <v/>
      </c>
      <c r="Q236" s="14">
        <f>IF(K236&gt;0,(K236-H236)/K236,"")</f>
        <v/>
      </c>
      <c r="R236" s="44">
        <f>IF($A236="","",J236-H236)</f>
        <v/>
      </c>
      <c r="S236" s="44">
        <f>IF($A236="","",O236*H236)</f>
        <v/>
      </c>
      <c r="T236" s="44">
        <f>IF($A236="","",O236*J236)</f>
        <v/>
      </c>
      <c r="U236" s="45" t="n"/>
      <c r="V236" s="40" t="n"/>
      <c r="W236" s="40" t="n"/>
      <c r="X236" s="40" t="n"/>
      <c r="Y236" s="40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5" t="n"/>
      <c r="I237" s="35" t="n"/>
      <c r="J237" s="35" t="n"/>
      <c r="K237" s="35" t="n"/>
      <c r="L237" s="35" t="n"/>
      <c r="M237" s="36" t="n"/>
      <c r="N237" s="37">
        <f>IF($A237="","",IFERROR(SUMIFS('Sales Log'!$E$4:$E$503,'Sales Log'!$C$4:$C$503,$A237),0))</f>
        <v/>
      </c>
      <c r="O237" s="16">
        <f>IF($A237="","",M237-N237)</f>
        <v/>
      </c>
      <c r="P237" s="18">
        <f>IF(J237&gt;0,(J237-H237)/J237,"")</f>
        <v/>
      </c>
      <c r="Q237" s="18">
        <f>IF(K237&gt;0,(K237-H237)/K237,"")</f>
        <v/>
      </c>
      <c r="R237" s="38">
        <f>IF($A237="","",J237-H237)</f>
        <v/>
      </c>
      <c r="S237" s="38">
        <f>IF($A237="","",O237*H237)</f>
        <v/>
      </c>
      <c r="T237" s="38">
        <f>IF($A237="","",O237*J237)</f>
        <v/>
      </c>
      <c r="U237" s="39" t="n"/>
      <c r="V237" s="34" t="n"/>
      <c r="W237" s="34" t="n"/>
      <c r="X237" s="34" t="n"/>
      <c r="Y237" s="34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1" t="n"/>
      <c r="I238" s="41" t="n"/>
      <c r="J238" s="41" t="n"/>
      <c r="K238" s="41" t="n"/>
      <c r="L238" s="41" t="n"/>
      <c r="M238" s="42" t="n"/>
      <c r="N238" s="43">
        <f>IF($A238="","",IFERROR(SUMIFS('Sales Log'!$E$4:$E$503,'Sales Log'!$C$4:$C$503,$A238),0))</f>
        <v/>
      </c>
      <c r="O238" s="12">
        <f>IF($A238="","",M238-N238)</f>
        <v/>
      </c>
      <c r="P238" s="14">
        <f>IF(J238&gt;0,(J238-H238)/J238,"")</f>
        <v/>
      </c>
      <c r="Q238" s="14">
        <f>IF(K238&gt;0,(K238-H238)/K238,"")</f>
        <v/>
      </c>
      <c r="R238" s="44">
        <f>IF($A238="","",J238-H238)</f>
        <v/>
      </c>
      <c r="S238" s="44">
        <f>IF($A238="","",O238*H238)</f>
        <v/>
      </c>
      <c r="T238" s="44">
        <f>IF($A238="","",O238*J238)</f>
        <v/>
      </c>
      <c r="U238" s="45" t="n"/>
      <c r="V238" s="40" t="n"/>
      <c r="W238" s="40" t="n"/>
      <c r="X238" s="40" t="n"/>
      <c r="Y238" s="40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5" t="n"/>
      <c r="I239" s="35" t="n"/>
      <c r="J239" s="35" t="n"/>
      <c r="K239" s="35" t="n"/>
      <c r="L239" s="35" t="n"/>
      <c r="M239" s="36" t="n"/>
      <c r="N239" s="37">
        <f>IF($A239="","",IFERROR(SUMIFS('Sales Log'!$E$4:$E$503,'Sales Log'!$C$4:$C$503,$A239),0))</f>
        <v/>
      </c>
      <c r="O239" s="16">
        <f>IF($A239="","",M239-N239)</f>
        <v/>
      </c>
      <c r="P239" s="18">
        <f>IF(J239&gt;0,(J239-H239)/J239,"")</f>
        <v/>
      </c>
      <c r="Q239" s="18">
        <f>IF(K239&gt;0,(K239-H239)/K239,"")</f>
        <v/>
      </c>
      <c r="R239" s="38">
        <f>IF($A239="","",J239-H239)</f>
        <v/>
      </c>
      <c r="S239" s="38">
        <f>IF($A239="","",O239*H239)</f>
        <v/>
      </c>
      <c r="T239" s="38">
        <f>IF($A239="","",O239*J239)</f>
        <v/>
      </c>
      <c r="U239" s="39" t="n"/>
      <c r="V239" s="34" t="n"/>
      <c r="W239" s="34" t="n"/>
      <c r="X239" s="34" t="n"/>
      <c r="Y239" s="34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1" t="n"/>
      <c r="I240" s="41" t="n"/>
      <c r="J240" s="41" t="n"/>
      <c r="K240" s="41" t="n"/>
      <c r="L240" s="41" t="n"/>
      <c r="M240" s="42" t="n"/>
      <c r="N240" s="43">
        <f>IF($A240="","",IFERROR(SUMIFS('Sales Log'!$E$4:$E$503,'Sales Log'!$C$4:$C$503,$A240),0))</f>
        <v/>
      </c>
      <c r="O240" s="12">
        <f>IF($A240="","",M240-N240)</f>
        <v/>
      </c>
      <c r="P240" s="14">
        <f>IF(J240&gt;0,(J240-H240)/J240,"")</f>
        <v/>
      </c>
      <c r="Q240" s="14">
        <f>IF(K240&gt;0,(K240-H240)/K240,"")</f>
        <v/>
      </c>
      <c r="R240" s="44">
        <f>IF($A240="","",J240-H240)</f>
        <v/>
      </c>
      <c r="S240" s="44">
        <f>IF($A240="","",O240*H240)</f>
        <v/>
      </c>
      <c r="T240" s="44">
        <f>IF($A240="","",O240*J240)</f>
        <v/>
      </c>
      <c r="U240" s="45" t="n"/>
      <c r="V240" s="40" t="n"/>
      <c r="W240" s="40" t="n"/>
      <c r="X240" s="40" t="n"/>
      <c r="Y240" s="40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5" t="n"/>
      <c r="I241" s="35" t="n"/>
      <c r="J241" s="35" t="n"/>
      <c r="K241" s="35" t="n"/>
      <c r="L241" s="35" t="n"/>
      <c r="M241" s="36" t="n"/>
      <c r="N241" s="37">
        <f>IF($A241="","",IFERROR(SUMIFS('Sales Log'!$E$4:$E$503,'Sales Log'!$C$4:$C$503,$A241),0))</f>
        <v/>
      </c>
      <c r="O241" s="16">
        <f>IF($A241="","",M241-N241)</f>
        <v/>
      </c>
      <c r="P241" s="18">
        <f>IF(J241&gt;0,(J241-H241)/J241,"")</f>
        <v/>
      </c>
      <c r="Q241" s="18">
        <f>IF(K241&gt;0,(K241-H241)/K241,"")</f>
        <v/>
      </c>
      <c r="R241" s="38">
        <f>IF($A241="","",J241-H241)</f>
        <v/>
      </c>
      <c r="S241" s="38">
        <f>IF($A241="","",O241*H241)</f>
        <v/>
      </c>
      <c r="T241" s="38">
        <f>IF($A241="","",O241*J241)</f>
        <v/>
      </c>
      <c r="U241" s="39" t="n"/>
      <c r="V241" s="34" t="n"/>
      <c r="W241" s="34" t="n"/>
      <c r="X241" s="34" t="n"/>
      <c r="Y241" s="34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1" t="n"/>
      <c r="I242" s="41" t="n"/>
      <c r="J242" s="41" t="n"/>
      <c r="K242" s="41" t="n"/>
      <c r="L242" s="41" t="n"/>
      <c r="M242" s="42" t="n"/>
      <c r="N242" s="43">
        <f>IF($A242="","",IFERROR(SUMIFS('Sales Log'!$E$4:$E$503,'Sales Log'!$C$4:$C$503,$A242),0))</f>
        <v/>
      </c>
      <c r="O242" s="12">
        <f>IF($A242="","",M242-N242)</f>
        <v/>
      </c>
      <c r="P242" s="14">
        <f>IF(J242&gt;0,(J242-H242)/J242,"")</f>
        <v/>
      </c>
      <c r="Q242" s="14">
        <f>IF(K242&gt;0,(K242-H242)/K242,"")</f>
        <v/>
      </c>
      <c r="R242" s="44">
        <f>IF($A242="","",J242-H242)</f>
        <v/>
      </c>
      <c r="S242" s="44">
        <f>IF($A242="","",O242*H242)</f>
        <v/>
      </c>
      <c r="T242" s="44">
        <f>IF($A242="","",O242*J242)</f>
        <v/>
      </c>
      <c r="U242" s="45" t="n"/>
      <c r="V242" s="40" t="n"/>
      <c r="W242" s="40" t="n"/>
      <c r="X242" s="40" t="n"/>
      <c r="Y242" s="40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5" t="n"/>
      <c r="I243" s="35" t="n"/>
      <c r="J243" s="35" t="n"/>
      <c r="K243" s="35" t="n"/>
      <c r="L243" s="35" t="n"/>
      <c r="M243" s="36" t="n"/>
      <c r="N243" s="37">
        <f>IF($A243="","",IFERROR(SUMIFS('Sales Log'!$E$4:$E$503,'Sales Log'!$C$4:$C$503,$A243),0))</f>
        <v/>
      </c>
      <c r="O243" s="16">
        <f>IF($A243="","",M243-N243)</f>
        <v/>
      </c>
      <c r="P243" s="18">
        <f>IF(J243&gt;0,(J243-H243)/J243,"")</f>
        <v/>
      </c>
      <c r="Q243" s="18">
        <f>IF(K243&gt;0,(K243-H243)/K243,"")</f>
        <v/>
      </c>
      <c r="R243" s="38">
        <f>IF($A243="","",J243-H243)</f>
        <v/>
      </c>
      <c r="S243" s="38">
        <f>IF($A243="","",O243*H243)</f>
        <v/>
      </c>
      <c r="T243" s="38">
        <f>IF($A243="","",O243*J243)</f>
        <v/>
      </c>
      <c r="U243" s="39" t="n"/>
      <c r="V243" s="34" t="n"/>
      <c r="W243" s="34" t="n"/>
      <c r="X243" s="34" t="n"/>
      <c r="Y243" s="34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1" t="n"/>
      <c r="I244" s="41" t="n"/>
      <c r="J244" s="41" t="n"/>
      <c r="K244" s="41" t="n"/>
      <c r="L244" s="41" t="n"/>
      <c r="M244" s="42" t="n"/>
      <c r="N244" s="43">
        <f>IF($A244="","",IFERROR(SUMIFS('Sales Log'!$E$4:$E$503,'Sales Log'!$C$4:$C$503,$A244),0))</f>
        <v/>
      </c>
      <c r="O244" s="12">
        <f>IF($A244="","",M244-N244)</f>
        <v/>
      </c>
      <c r="P244" s="14">
        <f>IF(J244&gt;0,(J244-H244)/J244,"")</f>
        <v/>
      </c>
      <c r="Q244" s="14">
        <f>IF(K244&gt;0,(K244-H244)/K244,"")</f>
        <v/>
      </c>
      <c r="R244" s="44">
        <f>IF($A244="","",J244-H244)</f>
        <v/>
      </c>
      <c r="S244" s="44">
        <f>IF($A244="","",O244*H244)</f>
        <v/>
      </c>
      <c r="T244" s="44">
        <f>IF($A244="","",O244*J244)</f>
        <v/>
      </c>
      <c r="U244" s="45" t="n"/>
      <c r="V244" s="40" t="n"/>
      <c r="W244" s="40" t="n"/>
      <c r="X244" s="40" t="n"/>
      <c r="Y244" s="40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5" t="n"/>
      <c r="I245" s="35" t="n"/>
      <c r="J245" s="35" t="n"/>
      <c r="K245" s="35" t="n"/>
      <c r="L245" s="35" t="n"/>
      <c r="M245" s="36" t="n"/>
      <c r="N245" s="37">
        <f>IF($A245="","",IFERROR(SUMIFS('Sales Log'!$E$4:$E$503,'Sales Log'!$C$4:$C$503,$A245),0))</f>
        <v/>
      </c>
      <c r="O245" s="16">
        <f>IF($A245="","",M245-N245)</f>
        <v/>
      </c>
      <c r="P245" s="18">
        <f>IF(J245&gt;0,(J245-H245)/J245,"")</f>
        <v/>
      </c>
      <c r="Q245" s="18">
        <f>IF(K245&gt;0,(K245-H245)/K245,"")</f>
        <v/>
      </c>
      <c r="R245" s="38">
        <f>IF($A245="","",J245-H245)</f>
        <v/>
      </c>
      <c r="S245" s="38">
        <f>IF($A245="","",O245*H245)</f>
        <v/>
      </c>
      <c r="T245" s="38">
        <f>IF($A245="","",O245*J245)</f>
        <v/>
      </c>
      <c r="U245" s="39" t="n"/>
      <c r="V245" s="34" t="n"/>
      <c r="W245" s="34" t="n"/>
      <c r="X245" s="34" t="n"/>
      <c r="Y245" s="34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1" t="n"/>
      <c r="I246" s="41" t="n"/>
      <c r="J246" s="41" t="n"/>
      <c r="K246" s="41" t="n"/>
      <c r="L246" s="41" t="n"/>
      <c r="M246" s="42" t="n"/>
      <c r="N246" s="43">
        <f>IF($A246="","",IFERROR(SUMIFS('Sales Log'!$E$4:$E$503,'Sales Log'!$C$4:$C$503,$A246),0))</f>
        <v/>
      </c>
      <c r="O246" s="12">
        <f>IF($A246="","",M246-N246)</f>
        <v/>
      </c>
      <c r="P246" s="14">
        <f>IF(J246&gt;0,(J246-H246)/J246,"")</f>
        <v/>
      </c>
      <c r="Q246" s="14">
        <f>IF(K246&gt;0,(K246-H246)/K246,"")</f>
        <v/>
      </c>
      <c r="R246" s="44">
        <f>IF($A246="","",J246-H246)</f>
        <v/>
      </c>
      <c r="S246" s="44">
        <f>IF($A246="","",O246*H246)</f>
        <v/>
      </c>
      <c r="T246" s="44">
        <f>IF($A246="","",O246*J246)</f>
        <v/>
      </c>
      <c r="U246" s="45" t="n"/>
      <c r="V246" s="40" t="n"/>
      <c r="W246" s="40" t="n"/>
      <c r="X246" s="40" t="n"/>
      <c r="Y246" s="40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5" t="n"/>
      <c r="I247" s="35" t="n"/>
      <c r="J247" s="35" t="n"/>
      <c r="K247" s="35" t="n"/>
      <c r="L247" s="35" t="n"/>
      <c r="M247" s="36" t="n"/>
      <c r="N247" s="37">
        <f>IF($A247="","",IFERROR(SUMIFS('Sales Log'!$E$4:$E$503,'Sales Log'!$C$4:$C$503,$A247),0))</f>
        <v/>
      </c>
      <c r="O247" s="16">
        <f>IF($A247="","",M247-N247)</f>
        <v/>
      </c>
      <c r="P247" s="18">
        <f>IF(J247&gt;0,(J247-H247)/J247,"")</f>
        <v/>
      </c>
      <c r="Q247" s="18">
        <f>IF(K247&gt;0,(K247-H247)/K247,"")</f>
        <v/>
      </c>
      <c r="R247" s="38">
        <f>IF($A247="","",J247-H247)</f>
        <v/>
      </c>
      <c r="S247" s="38">
        <f>IF($A247="","",O247*H247)</f>
        <v/>
      </c>
      <c r="T247" s="38">
        <f>IF($A247="","",O247*J247)</f>
        <v/>
      </c>
      <c r="U247" s="39" t="n"/>
      <c r="V247" s="34" t="n"/>
      <c r="W247" s="34" t="n"/>
      <c r="X247" s="34" t="n"/>
      <c r="Y247" s="34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1" t="n"/>
      <c r="I248" s="41" t="n"/>
      <c r="J248" s="41" t="n"/>
      <c r="K248" s="41" t="n"/>
      <c r="L248" s="41" t="n"/>
      <c r="M248" s="42" t="n"/>
      <c r="N248" s="43">
        <f>IF($A248="","",IFERROR(SUMIFS('Sales Log'!$E$4:$E$503,'Sales Log'!$C$4:$C$503,$A248),0))</f>
        <v/>
      </c>
      <c r="O248" s="12">
        <f>IF($A248="","",M248-N248)</f>
        <v/>
      </c>
      <c r="P248" s="14">
        <f>IF(J248&gt;0,(J248-H248)/J248,"")</f>
        <v/>
      </c>
      <c r="Q248" s="14">
        <f>IF(K248&gt;0,(K248-H248)/K248,"")</f>
        <v/>
      </c>
      <c r="R248" s="44">
        <f>IF($A248="","",J248-H248)</f>
        <v/>
      </c>
      <c r="S248" s="44">
        <f>IF($A248="","",O248*H248)</f>
        <v/>
      </c>
      <c r="T248" s="44">
        <f>IF($A248="","",O248*J248)</f>
        <v/>
      </c>
      <c r="U248" s="45" t="n"/>
      <c r="V248" s="40" t="n"/>
      <c r="W248" s="40" t="n"/>
      <c r="X248" s="40" t="n"/>
      <c r="Y248" s="40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5" t="n"/>
      <c r="I249" s="35" t="n"/>
      <c r="J249" s="35" t="n"/>
      <c r="K249" s="35" t="n"/>
      <c r="L249" s="35" t="n"/>
      <c r="M249" s="36" t="n"/>
      <c r="N249" s="37">
        <f>IF($A249="","",IFERROR(SUMIFS('Sales Log'!$E$4:$E$503,'Sales Log'!$C$4:$C$503,$A249),0))</f>
        <v/>
      </c>
      <c r="O249" s="16">
        <f>IF($A249="","",M249-N249)</f>
        <v/>
      </c>
      <c r="P249" s="18">
        <f>IF(J249&gt;0,(J249-H249)/J249,"")</f>
        <v/>
      </c>
      <c r="Q249" s="18">
        <f>IF(K249&gt;0,(K249-H249)/K249,"")</f>
        <v/>
      </c>
      <c r="R249" s="38">
        <f>IF($A249="","",J249-H249)</f>
        <v/>
      </c>
      <c r="S249" s="38">
        <f>IF($A249="","",O249*H249)</f>
        <v/>
      </c>
      <c r="T249" s="38">
        <f>IF($A249="","",O249*J249)</f>
        <v/>
      </c>
      <c r="U249" s="39" t="n"/>
      <c r="V249" s="34" t="n"/>
      <c r="W249" s="34" t="n"/>
      <c r="X249" s="34" t="n"/>
      <c r="Y249" s="34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1" t="n"/>
      <c r="I250" s="41" t="n"/>
      <c r="J250" s="41" t="n"/>
      <c r="K250" s="41" t="n"/>
      <c r="L250" s="41" t="n"/>
      <c r="M250" s="42" t="n"/>
      <c r="N250" s="43">
        <f>IF($A250="","",IFERROR(SUMIFS('Sales Log'!$E$4:$E$503,'Sales Log'!$C$4:$C$503,$A250),0))</f>
        <v/>
      </c>
      <c r="O250" s="12">
        <f>IF($A250="","",M250-N250)</f>
        <v/>
      </c>
      <c r="P250" s="14">
        <f>IF(J250&gt;0,(J250-H250)/J250,"")</f>
        <v/>
      </c>
      <c r="Q250" s="14">
        <f>IF(K250&gt;0,(K250-H250)/K250,"")</f>
        <v/>
      </c>
      <c r="R250" s="44">
        <f>IF($A250="","",J250-H250)</f>
        <v/>
      </c>
      <c r="S250" s="44">
        <f>IF($A250="","",O250*H250)</f>
        <v/>
      </c>
      <c r="T250" s="44">
        <f>IF($A250="","",O250*J250)</f>
        <v/>
      </c>
      <c r="U250" s="45" t="n"/>
      <c r="V250" s="40" t="n"/>
      <c r="W250" s="40" t="n"/>
      <c r="X250" s="40" t="n"/>
      <c r="Y250" s="40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5" t="n"/>
      <c r="I251" s="35" t="n"/>
      <c r="J251" s="35" t="n"/>
      <c r="K251" s="35" t="n"/>
      <c r="L251" s="35" t="n"/>
      <c r="M251" s="36" t="n"/>
      <c r="N251" s="37">
        <f>IF($A251="","",IFERROR(SUMIFS('Sales Log'!$E$4:$E$503,'Sales Log'!$C$4:$C$503,$A251),0))</f>
        <v/>
      </c>
      <c r="O251" s="16">
        <f>IF($A251="","",M251-N251)</f>
        <v/>
      </c>
      <c r="P251" s="18">
        <f>IF(J251&gt;0,(J251-H251)/J251,"")</f>
        <v/>
      </c>
      <c r="Q251" s="18">
        <f>IF(K251&gt;0,(K251-H251)/K251,"")</f>
        <v/>
      </c>
      <c r="R251" s="38">
        <f>IF($A251="","",J251-H251)</f>
        <v/>
      </c>
      <c r="S251" s="38">
        <f>IF($A251="","",O251*H251)</f>
        <v/>
      </c>
      <c r="T251" s="38">
        <f>IF($A251="","",O251*J251)</f>
        <v/>
      </c>
      <c r="U251" s="39" t="n"/>
      <c r="V251" s="34" t="n"/>
      <c r="W251" s="34" t="n"/>
      <c r="X251" s="34" t="n"/>
      <c r="Y251" s="34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1" t="n"/>
      <c r="I252" s="41" t="n"/>
      <c r="J252" s="41" t="n"/>
      <c r="K252" s="41" t="n"/>
      <c r="L252" s="41" t="n"/>
      <c r="M252" s="42" t="n"/>
      <c r="N252" s="43">
        <f>IF($A252="","",IFERROR(SUMIFS('Sales Log'!$E$4:$E$503,'Sales Log'!$C$4:$C$503,$A252),0))</f>
        <v/>
      </c>
      <c r="O252" s="12">
        <f>IF($A252="","",M252-N252)</f>
        <v/>
      </c>
      <c r="P252" s="14">
        <f>IF(J252&gt;0,(J252-H252)/J252,"")</f>
        <v/>
      </c>
      <c r="Q252" s="14">
        <f>IF(K252&gt;0,(K252-H252)/K252,"")</f>
        <v/>
      </c>
      <c r="R252" s="44">
        <f>IF($A252="","",J252-H252)</f>
        <v/>
      </c>
      <c r="S252" s="44">
        <f>IF($A252="","",O252*H252)</f>
        <v/>
      </c>
      <c r="T252" s="44">
        <f>IF($A252="","",O252*J252)</f>
        <v/>
      </c>
      <c r="U252" s="45" t="n"/>
      <c r="V252" s="40" t="n"/>
      <c r="W252" s="40" t="n"/>
      <c r="X252" s="40" t="n"/>
      <c r="Y252" s="40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5" t="n"/>
      <c r="I253" s="35" t="n"/>
      <c r="J253" s="35" t="n"/>
      <c r="K253" s="35" t="n"/>
      <c r="L253" s="35" t="n"/>
      <c r="M253" s="36" t="n"/>
      <c r="N253" s="37">
        <f>IF($A253="","",IFERROR(SUMIFS('Sales Log'!$E$4:$E$503,'Sales Log'!$C$4:$C$503,$A253),0))</f>
        <v/>
      </c>
      <c r="O253" s="16">
        <f>IF($A253="","",M253-N253)</f>
        <v/>
      </c>
      <c r="P253" s="18">
        <f>IF(J253&gt;0,(J253-H253)/J253,"")</f>
        <v/>
      </c>
      <c r="Q253" s="18">
        <f>IF(K253&gt;0,(K253-H253)/K253,"")</f>
        <v/>
      </c>
      <c r="R253" s="38">
        <f>IF($A253="","",J253-H253)</f>
        <v/>
      </c>
      <c r="S253" s="38">
        <f>IF($A253="","",O253*H253)</f>
        <v/>
      </c>
      <c r="T253" s="38">
        <f>IF($A253="","",O253*J253)</f>
        <v/>
      </c>
      <c r="U253" s="39" t="n"/>
      <c r="V253" s="34" t="n"/>
      <c r="W253" s="34" t="n"/>
      <c r="X253" s="34" t="n"/>
      <c r="Y253" s="34" t="n"/>
    </row>
  </sheetData>
  <dataValidations count="3">
    <dataValidation sqref="F4:F253" showDropDown="0" showInputMessage="0" showErrorMessage="0" allowBlank="1" type="list">
      <formula1>=Lists!$A$4:$A$10</formula1>
    </dataValidation>
    <dataValidation sqref="E4:E253" showDropDown="0" showInputMessage="0" showErrorMessage="0" allowBlank="1" type="list">
      <formula1>=Lists!$B$4:$B$17</formula1>
    </dataValidation>
    <dataValidation sqref="G4:G253" showDropDown="0" showInputMessage="0" showErrorMessage="0" allowBlank="1" type="list">
      <formula1>=Lists!$C$4:$C$9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6" customWidth="1" min="4" max="4"/>
    <col width="6" customWidth="1" min="5" max="5"/>
    <col width="11" customWidth="1" min="6" max="6"/>
    <col width="10" customWidth="1" min="7" max="7"/>
    <col width="11" customWidth="1" min="8" max="8"/>
    <col width="9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4" customWidth="1" min="15" max="15"/>
    <col width="10" customWidth="1" min="16" max="16"/>
    <col width="11" customWidth="1" min="17" max="17"/>
    <col width="18" customWidth="1" min="18" max="18"/>
    <col width="20" customWidth="1" min="19" max="19"/>
    <col width="26" customWidth="1" min="20" max="20"/>
  </cols>
  <sheetData>
    <row r="1">
      <c r="A1" s="9" t="inlineStr">
        <is>
          <t>Sales Log — one row per item sold</t>
        </is>
      </c>
    </row>
    <row r="2">
      <c r="A2" s="2" t="inlineStr">
        <is>
          <t>Type SKU and the item name and cost fill themselves in. One row per line item: a customer buying three pens is three rows, same date and payment method.</t>
        </is>
      </c>
    </row>
    <row r="3" ht="30" customHeight="1">
      <c r="A3" s="10" t="inlineStr">
        <is>
          <t>Date</t>
        </is>
      </c>
      <c r="B3" s="10" t="inlineStr">
        <is>
          <t>Show</t>
        </is>
      </c>
      <c r="C3" s="10" t="inlineStr">
        <is>
          <t>SKU</t>
        </is>
      </c>
      <c r="D3" s="10" t="inlineStr">
        <is>
          <t>Item (auto)</t>
        </is>
      </c>
      <c r="E3" s="10" t="inlineStr">
        <is>
          <t>Qty</t>
        </is>
      </c>
      <c r="F3" s="10" t="inlineStr">
        <is>
          <t>Unit price</t>
        </is>
      </c>
      <c r="G3" s="10" t="inlineStr">
        <is>
          <t>Discount $</t>
        </is>
      </c>
      <c r="H3" s="10" t="inlineStr">
        <is>
          <t>Unit cost (auto)</t>
        </is>
      </c>
      <c r="I3" s="10" t="inlineStr">
        <is>
          <t>Taxable</t>
        </is>
      </c>
      <c r="J3" s="10" t="inlineStr">
        <is>
          <t>Line revenue</t>
        </is>
      </c>
      <c r="K3" s="10" t="inlineStr">
        <is>
          <t>Sales tax</t>
        </is>
      </c>
      <c r="L3" s="10" t="inlineStr">
        <is>
          <t>Line COGS</t>
        </is>
      </c>
      <c r="M3" s="10" t="inlineStr">
        <is>
          <t>Line profit</t>
        </is>
      </c>
      <c r="N3" s="10" t="inlineStr">
        <is>
          <t>Payment method</t>
        </is>
      </c>
      <c r="O3" s="10" t="inlineStr">
        <is>
          <t>Payment ref</t>
        </is>
      </c>
      <c r="P3" s="10" t="inlineStr">
        <is>
          <t>Card fee</t>
        </is>
      </c>
      <c r="Q3" s="10" t="inlineStr">
        <is>
          <t>Net to you</t>
        </is>
      </c>
      <c r="R3" s="10" t="inlineStr">
        <is>
          <t>Customer</t>
        </is>
      </c>
      <c r="S3" s="10" t="inlineStr">
        <is>
          <t>Email / phone</t>
        </is>
      </c>
      <c r="T3" s="10" t="inlineStr">
        <is>
          <t>Notes</t>
        </is>
      </c>
    </row>
    <row r="4">
      <c r="A4" s="46" t="n"/>
      <c r="B4" s="40" t="n"/>
      <c r="C4" s="40" t="n"/>
      <c r="D4" s="11">
        <f>IF($C4="","",IFERROR(INDEX(Inventory!$B$4:$B$253,MATCH($C4,Inventory!$A$4:$A$253,0))&amp;" "&amp;INDEX(Inventory!$C$4:$C$253,MATCH($C4,Inventory!$A$4:$A$253,0)),"SKU not in Inventory"))</f>
        <v/>
      </c>
      <c r="E4" s="42" t="n"/>
      <c r="F4" s="41" t="n"/>
      <c r="G4" s="41" t="n"/>
      <c r="H4" s="47">
        <f>IF($C4="","",IFERROR(INDEX(Inventory!$H$4:$H$253,MATCH($C4,Inventory!$A$4:$A$253,0)),0))</f>
        <v/>
      </c>
      <c r="I4" s="40" t="n"/>
      <c r="J4" s="44">
        <f>IF($C4="","",MAX(0,$E4*$F4-$G4))</f>
        <v/>
      </c>
      <c r="K4" s="44">
        <f>IF(OR($C4="",$I4="No"),0,ROUND($J4*IFERROR(INDEX(Shows!$F$4:$F$23,MATCH($B4,Shows!$A$4:$A$23,0)),0),2))</f>
        <v/>
      </c>
      <c r="L4" s="44">
        <f>IF($C4="","",$E4*$H4)</f>
        <v/>
      </c>
      <c r="M4" s="44">
        <f>IF($C4="","",$J4-$L4-$P4)</f>
        <v/>
      </c>
      <c r="N4" s="40" t="n"/>
      <c r="O4" s="40" t="n"/>
      <c r="P4" s="44">
        <f>IF(OR($C4="",$N4&lt;&gt;"Card"),0,ROUND(($J4+$K4)*IFERROR(INDEX(Shows!$G$4:$G$23,MATCH($B4,Shows!$A$4:$A$23,0)),0)+IFERROR(INDEX(Shows!$H$4:$H$23,MATCH($B4,Shows!$A$4:$A$23,0)),0),2))</f>
        <v/>
      </c>
      <c r="Q4" s="44">
        <f>IF($C4="","",$J4+$K4-$P4)</f>
        <v/>
      </c>
      <c r="R4" s="40" t="n"/>
      <c r="S4" s="40" t="n"/>
      <c r="T4" s="40" t="n"/>
    </row>
    <row r="5">
      <c r="A5" s="48" t="n"/>
      <c r="B5" s="34" t="n"/>
      <c r="C5" s="34" t="n"/>
      <c r="D5" s="15">
        <f>IF($C5="","",IFERROR(INDEX(Inventory!$B$4:$B$253,MATCH($C5,Inventory!$A$4:$A$253,0))&amp;" "&amp;INDEX(Inventory!$C$4:$C$253,MATCH($C5,Inventory!$A$4:$A$253,0)),"SKU not in Inventory"))</f>
        <v/>
      </c>
      <c r="E5" s="36" t="n"/>
      <c r="F5" s="35" t="n"/>
      <c r="G5" s="35" t="n"/>
      <c r="H5" s="49">
        <f>IF($C5="","",IFERROR(INDEX(Inventory!$H$4:$H$253,MATCH($C5,Inventory!$A$4:$A$253,0)),0))</f>
        <v/>
      </c>
      <c r="I5" s="34" t="n"/>
      <c r="J5" s="38">
        <f>IF($C5="","",MAX(0,$E5*$F5-$G5))</f>
        <v/>
      </c>
      <c r="K5" s="38">
        <f>IF(OR($C5="",$I5="No"),0,ROUND($J5*IFERROR(INDEX(Shows!$F$4:$F$23,MATCH($B5,Shows!$A$4:$A$23,0)),0),2))</f>
        <v/>
      </c>
      <c r="L5" s="38">
        <f>IF($C5="","",$E5*$H5)</f>
        <v/>
      </c>
      <c r="M5" s="38">
        <f>IF($C5="","",$J5-$L5-$P5)</f>
        <v/>
      </c>
      <c r="N5" s="34" t="n"/>
      <c r="O5" s="34" t="n"/>
      <c r="P5" s="38">
        <f>IF(OR($C5="",$N5&lt;&gt;"Card"),0,ROUND(($J5+$K5)*IFERROR(INDEX(Shows!$G$4:$G$23,MATCH($B5,Shows!$A$4:$A$23,0)),0)+IFERROR(INDEX(Shows!$H$4:$H$23,MATCH($B5,Shows!$A$4:$A$23,0)),0),2))</f>
        <v/>
      </c>
      <c r="Q5" s="38">
        <f>IF($C5="","",$J5+$K5-$P5)</f>
        <v/>
      </c>
      <c r="R5" s="34" t="n"/>
      <c r="S5" s="34" t="n"/>
      <c r="T5" s="34" t="n"/>
    </row>
    <row r="6">
      <c r="A6" s="46" t="n"/>
      <c r="B6" s="40" t="n"/>
      <c r="C6" s="40" t="n"/>
      <c r="D6" s="11">
        <f>IF($C6="","",IFERROR(INDEX(Inventory!$B$4:$B$253,MATCH($C6,Inventory!$A$4:$A$253,0))&amp;" "&amp;INDEX(Inventory!$C$4:$C$253,MATCH($C6,Inventory!$A$4:$A$253,0)),"SKU not in Inventory"))</f>
        <v/>
      </c>
      <c r="E6" s="42" t="n"/>
      <c r="F6" s="41" t="n"/>
      <c r="G6" s="41" t="n"/>
      <c r="H6" s="47">
        <f>IF($C6="","",IFERROR(INDEX(Inventory!$H$4:$H$253,MATCH($C6,Inventory!$A$4:$A$253,0)),0))</f>
        <v/>
      </c>
      <c r="I6" s="40" t="n"/>
      <c r="J6" s="44">
        <f>IF($C6="","",MAX(0,$E6*$F6-$G6))</f>
        <v/>
      </c>
      <c r="K6" s="44">
        <f>IF(OR($C6="",$I6="No"),0,ROUND($J6*IFERROR(INDEX(Shows!$F$4:$F$23,MATCH($B6,Shows!$A$4:$A$23,0)),0),2))</f>
        <v/>
      </c>
      <c r="L6" s="44">
        <f>IF($C6="","",$E6*$H6)</f>
        <v/>
      </c>
      <c r="M6" s="44">
        <f>IF($C6="","",$J6-$L6-$P6)</f>
        <v/>
      </c>
      <c r="N6" s="40" t="n"/>
      <c r="O6" s="40" t="n"/>
      <c r="P6" s="44">
        <f>IF(OR($C6="",$N6&lt;&gt;"Card"),0,ROUND(($J6+$K6)*IFERROR(INDEX(Shows!$G$4:$G$23,MATCH($B6,Shows!$A$4:$A$23,0)),0)+IFERROR(INDEX(Shows!$H$4:$H$23,MATCH($B6,Shows!$A$4:$A$23,0)),0),2))</f>
        <v/>
      </c>
      <c r="Q6" s="44">
        <f>IF($C6="","",$J6+$K6-$P6)</f>
        <v/>
      </c>
      <c r="R6" s="40" t="n"/>
      <c r="S6" s="40" t="n"/>
      <c r="T6" s="40" t="n"/>
    </row>
    <row r="7">
      <c r="A7" s="48" t="n"/>
      <c r="B7" s="34" t="n"/>
      <c r="C7" s="34" t="n"/>
      <c r="D7" s="15">
        <f>IF($C7="","",IFERROR(INDEX(Inventory!$B$4:$B$253,MATCH($C7,Inventory!$A$4:$A$253,0))&amp;" "&amp;INDEX(Inventory!$C$4:$C$253,MATCH($C7,Inventory!$A$4:$A$253,0)),"SKU not in Inventory"))</f>
        <v/>
      </c>
      <c r="E7" s="36" t="n"/>
      <c r="F7" s="35" t="n"/>
      <c r="G7" s="35" t="n"/>
      <c r="H7" s="49">
        <f>IF($C7="","",IFERROR(INDEX(Inventory!$H$4:$H$253,MATCH($C7,Inventory!$A$4:$A$253,0)),0))</f>
        <v/>
      </c>
      <c r="I7" s="34" t="n"/>
      <c r="J7" s="38">
        <f>IF($C7="","",MAX(0,$E7*$F7-$G7))</f>
        <v/>
      </c>
      <c r="K7" s="38">
        <f>IF(OR($C7="",$I7="No"),0,ROUND($J7*IFERROR(INDEX(Shows!$F$4:$F$23,MATCH($B7,Shows!$A$4:$A$23,0)),0),2))</f>
        <v/>
      </c>
      <c r="L7" s="38">
        <f>IF($C7="","",$E7*$H7)</f>
        <v/>
      </c>
      <c r="M7" s="38">
        <f>IF($C7="","",$J7-$L7-$P7)</f>
        <v/>
      </c>
      <c r="N7" s="34" t="n"/>
      <c r="O7" s="34" t="n"/>
      <c r="P7" s="38">
        <f>IF(OR($C7="",$N7&lt;&gt;"Card"),0,ROUND(($J7+$K7)*IFERROR(INDEX(Shows!$G$4:$G$23,MATCH($B7,Shows!$A$4:$A$23,0)),0)+IFERROR(INDEX(Shows!$H$4:$H$23,MATCH($B7,Shows!$A$4:$A$23,0)),0),2))</f>
        <v/>
      </c>
      <c r="Q7" s="38">
        <f>IF($C7="","",$J7+$K7-$P7)</f>
        <v/>
      </c>
      <c r="R7" s="34" t="n"/>
      <c r="S7" s="34" t="n"/>
      <c r="T7" s="34" t="n"/>
    </row>
    <row r="8">
      <c r="A8" s="46" t="n"/>
      <c r="B8" s="40" t="n"/>
      <c r="C8" s="40" t="n"/>
      <c r="D8" s="11">
        <f>IF($C8="","",IFERROR(INDEX(Inventory!$B$4:$B$253,MATCH($C8,Inventory!$A$4:$A$253,0))&amp;" "&amp;INDEX(Inventory!$C$4:$C$253,MATCH($C8,Inventory!$A$4:$A$253,0)),"SKU not in Inventory"))</f>
        <v/>
      </c>
      <c r="E8" s="42" t="n"/>
      <c r="F8" s="41" t="n"/>
      <c r="G8" s="41" t="n"/>
      <c r="H8" s="47">
        <f>IF($C8="","",IFERROR(INDEX(Inventory!$H$4:$H$253,MATCH($C8,Inventory!$A$4:$A$253,0)),0))</f>
        <v/>
      </c>
      <c r="I8" s="40" t="n"/>
      <c r="J8" s="44">
        <f>IF($C8="","",MAX(0,$E8*$F8-$G8))</f>
        <v/>
      </c>
      <c r="K8" s="44">
        <f>IF(OR($C8="",$I8="No"),0,ROUND($J8*IFERROR(INDEX(Shows!$F$4:$F$23,MATCH($B8,Shows!$A$4:$A$23,0)),0),2))</f>
        <v/>
      </c>
      <c r="L8" s="44">
        <f>IF($C8="","",$E8*$H8)</f>
        <v/>
      </c>
      <c r="M8" s="44">
        <f>IF($C8="","",$J8-$L8-$P8)</f>
        <v/>
      </c>
      <c r="N8" s="40" t="n"/>
      <c r="O8" s="40" t="n"/>
      <c r="P8" s="44">
        <f>IF(OR($C8="",$N8&lt;&gt;"Card"),0,ROUND(($J8+$K8)*IFERROR(INDEX(Shows!$G$4:$G$23,MATCH($B8,Shows!$A$4:$A$23,0)),0)+IFERROR(INDEX(Shows!$H$4:$H$23,MATCH($B8,Shows!$A$4:$A$23,0)),0),2))</f>
        <v/>
      </c>
      <c r="Q8" s="44">
        <f>IF($C8="","",$J8+$K8-$P8)</f>
        <v/>
      </c>
      <c r="R8" s="40" t="n"/>
      <c r="S8" s="40" t="n"/>
      <c r="T8" s="40" t="n"/>
    </row>
    <row r="9">
      <c r="A9" s="48" t="n"/>
      <c r="B9" s="34" t="n"/>
      <c r="C9" s="34" t="n"/>
      <c r="D9" s="15">
        <f>IF($C9="","",IFERROR(INDEX(Inventory!$B$4:$B$253,MATCH($C9,Inventory!$A$4:$A$253,0))&amp;" "&amp;INDEX(Inventory!$C$4:$C$253,MATCH($C9,Inventory!$A$4:$A$253,0)),"SKU not in Inventory"))</f>
        <v/>
      </c>
      <c r="E9" s="36" t="n"/>
      <c r="F9" s="35" t="n"/>
      <c r="G9" s="35" t="n"/>
      <c r="H9" s="49">
        <f>IF($C9="","",IFERROR(INDEX(Inventory!$H$4:$H$253,MATCH($C9,Inventory!$A$4:$A$253,0)),0))</f>
        <v/>
      </c>
      <c r="I9" s="34" t="n"/>
      <c r="J9" s="38">
        <f>IF($C9="","",MAX(0,$E9*$F9-$G9))</f>
        <v/>
      </c>
      <c r="K9" s="38">
        <f>IF(OR($C9="",$I9="No"),0,ROUND($J9*IFERROR(INDEX(Shows!$F$4:$F$23,MATCH($B9,Shows!$A$4:$A$23,0)),0),2))</f>
        <v/>
      </c>
      <c r="L9" s="38">
        <f>IF($C9="","",$E9*$H9)</f>
        <v/>
      </c>
      <c r="M9" s="38">
        <f>IF($C9="","",$J9-$L9-$P9)</f>
        <v/>
      </c>
      <c r="N9" s="34" t="n"/>
      <c r="O9" s="34" t="n"/>
      <c r="P9" s="38">
        <f>IF(OR($C9="",$N9&lt;&gt;"Card"),0,ROUND(($J9+$K9)*IFERROR(INDEX(Shows!$G$4:$G$23,MATCH($B9,Shows!$A$4:$A$23,0)),0)+IFERROR(INDEX(Shows!$H$4:$H$23,MATCH($B9,Shows!$A$4:$A$23,0)),0),2))</f>
        <v/>
      </c>
      <c r="Q9" s="38">
        <f>IF($C9="","",$J9+$K9-$P9)</f>
        <v/>
      </c>
      <c r="R9" s="34" t="n"/>
      <c r="S9" s="34" t="n"/>
      <c r="T9" s="34" t="n"/>
    </row>
    <row r="10">
      <c r="A10" s="46" t="n"/>
      <c r="B10" s="40" t="n"/>
      <c r="C10" s="40" t="n"/>
      <c r="D10" s="11">
        <f>IF($C10="","",IFERROR(INDEX(Inventory!$B$4:$B$253,MATCH($C10,Inventory!$A$4:$A$253,0))&amp;" "&amp;INDEX(Inventory!$C$4:$C$253,MATCH($C10,Inventory!$A$4:$A$253,0)),"SKU not in Inventory"))</f>
        <v/>
      </c>
      <c r="E10" s="42" t="n"/>
      <c r="F10" s="41" t="n"/>
      <c r="G10" s="41" t="n"/>
      <c r="H10" s="47">
        <f>IF($C10="","",IFERROR(INDEX(Inventory!$H$4:$H$253,MATCH($C10,Inventory!$A$4:$A$253,0)),0))</f>
        <v/>
      </c>
      <c r="I10" s="40" t="n"/>
      <c r="J10" s="44">
        <f>IF($C10="","",MAX(0,$E10*$F10-$G10))</f>
        <v/>
      </c>
      <c r="K10" s="44">
        <f>IF(OR($C10="",$I10="No"),0,ROUND($J10*IFERROR(INDEX(Shows!$F$4:$F$23,MATCH($B10,Shows!$A$4:$A$23,0)),0),2))</f>
        <v/>
      </c>
      <c r="L10" s="44">
        <f>IF($C10="","",$E10*$H10)</f>
        <v/>
      </c>
      <c r="M10" s="44">
        <f>IF($C10="","",$J10-$L10-$P10)</f>
        <v/>
      </c>
      <c r="N10" s="40" t="n"/>
      <c r="O10" s="40" t="n"/>
      <c r="P10" s="44">
        <f>IF(OR($C10="",$N10&lt;&gt;"Card"),0,ROUND(($J10+$K10)*IFERROR(INDEX(Shows!$G$4:$G$23,MATCH($B10,Shows!$A$4:$A$23,0)),0)+IFERROR(INDEX(Shows!$H$4:$H$23,MATCH($B10,Shows!$A$4:$A$23,0)),0),2))</f>
        <v/>
      </c>
      <c r="Q10" s="44">
        <f>IF($C10="","",$J10+$K10-$P10)</f>
        <v/>
      </c>
      <c r="R10" s="40" t="n"/>
      <c r="S10" s="40" t="n"/>
      <c r="T10" s="40" t="n"/>
    </row>
    <row r="11">
      <c r="A11" s="48" t="n"/>
      <c r="B11" s="34" t="n"/>
      <c r="C11" s="34" t="n"/>
      <c r="D11" s="15">
        <f>IF($C11="","",IFERROR(INDEX(Inventory!$B$4:$B$253,MATCH($C11,Inventory!$A$4:$A$253,0))&amp;" "&amp;INDEX(Inventory!$C$4:$C$253,MATCH($C11,Inventory!$A$4:$A$253,0)),"SKU not in Inventory"))</f>
        <v/>
      </c>
      <c r="E11" s="36" t="n"/>
      <c r="F11" s="35" t="n"/>
      <c r="G11" s="35" t="n"/>
      <c r="H11" s="49">
        <f>IF($C11="","",IFERROR(INDEX(Inventory!$H$4:$H$253,MATCH($C11,Inventory!$A$4:$A$253,0)),0))</f>
        <v/>
      </c>
      <c r="I11" s="34" t="n"/>
      <c r="J11" s="38">
        <f>IF($C11="","",MAX(0,$E11*$F11-$G11))</f>
        <v/>
      </c>
      <c r="K11" s="38">
        <f>IF(OR($C11="",$I11="No"),0,ROUND($J11*IFERROR(INDEX(Shows!$F$4:$F$23,MATCH($B11,Shows!$A$4:$A$23,0)),0),2))</f>
        <v/>
      </c>
      <c r="L11" s="38">
        <f>IF($C11="","",$E11*$H11)</f>
        <v/>
      </c>
      <c r="M11" s="38">
        <f>IF($C11="","",$J11-$L11-$P11)</f>
        <v/>
      </c>
      <c r="N11" s="34" t="n"/>
      <c r="O11" s="34" t="n"/>
      <c r="P11" s="38">
        <f>IF(OR($C11="",$N11&lt;&gt;"Card"),0,ROUND(($J11+$K11)*IFERROR(INDEX(Shows!$G$4:$G$23,MATCH($B11,Shows!$A$4:$A$23,0)),0)+IFERROR(INDEX(Shows!$H$4:$H$23,MATCH($B11,Shows!$A$4:$A$23,0)),0),2))</f>
        <v/>
      </c>
      <c r="Q11" s="38">
        <f>IF($C11="","",$J11+$K11-$P11)</f>
        <v/>
      </c>
      <c r="R11" s="34" t="n"/>
      <c r="S11" s="34" t="n"/>
      <c r="T11" s="34" t="n"/>
    </row>
    <row r="12">
      <c r="A12" s="46" t="n"/>
      <c r="B12" s="40" t="n"/>
      <c r="C12" s="40" t="n"/>
      <c r="D12" s="11">
        <f>IF($C12="","",IFERROR(INDEX(Inventory!$B$4:$B$253,MATCH($C12,Inventory!$A$4:$A$253,0))&amp;" "&amp;INDEX(Inventory!$C$4:$C$253,MATCH($C12,Inventory!$A$4:$A$253,0)),"SKU not in Inventory"))</f>
        <v/>
      </c>
      <c r="E12" s="42" t="n"/>
      <c r="F12" s="41" t="n"/>
      <c r="G12" s="41" t="n"/>
      <c r="H12" s="47">
        <f>IF($C12="","",IFERROR(INDEX(Inventory!$H$4:$H$253,MATCH($C12,Inventory!$A$4:$A$253,0)),0))</f>
        <v/>
      </c>
      <c r="I12" s="40" t="n"/>
      <c r="J12" s="44">
        <f>IF($C12="","",MAX(0,$E12*$F12-$G12))</f>
        <v/>
      </c>
      <c r="K12" s="44">
        <f>IF(OR($C12="",$I12="No"),0,ROUND($J12*IFERROR(INDEX(Shows!$F$4:$F$23,MATCH($B12,Shows!$A$4:$A$23,0)),0),2))</f>
        <v/>
      </c>
      <c r="L12" s="44">
        <f>IF($C12="","",$E12*$H12)</f>
        <v/>
      </c>
      <c r="M12" s="44">
        <f>IF($C12="","",$J12-$L12-$P12)</f>
        <v/>
      </c>
      <c r="N12" s="40" t="n"/>
      <c r="O12" s="40" t="n"/>
      <c r="P12" s="44">
        <f>IF(OR($C12="",$N12&lt;&gt;"Card"),0,ROUND(($J12+$K12)*IFERROR(INDEX(Shows!$G$4:$G$23,MATCH($B12,Shows!$A$4:$A$23,0)),0)+IFERROR(INDEX(Shows!$H$4:$H$23,MATCH($B12,Shows!$A$4:$A$23,0)),0),2))</f>
        <v/>
      </c>
      <c r="Q12" s="44">
        <f>IF($C12="","",$J12+$K12-$P12)</f>
        <v/>
      </c>
      <c r="R12" s="40" t="n"/>
      <c r="S12" s="40" t="n"/>
      <c r="T12" s="40" t="n"/>
    </row>
    <row r="13">
      <c r="A13" s="48" t="n"/>
      <c r="B13" s="34" t="n"/>
      <c r="C13" s="34" t="n"/>
      <c r="D13" s="15">
        <f>IF($C13="","",IFERROR(INDEX(Inventory!$B$4:$B$253,MATCH($C13,Inventory!$A$4:$A$253,0))&amp;" "&amp;INDEX(Inventory!$C$4:$C$253,MATCH($C13,Inventory!$A$4:$A$253,0)),"SKU not in Inventory"))</f>
        <v/>
      </c>
      <c r="E13" s="36" t="n"/>
      <c r="F13" s="35" t="n"/>
      <c r="G13" s="35" t="n"/>
      <c r="H13" s="49">
        <f>IF($C13="","",IFERROR(INDEX(Inventory!$H$4:$H$253,MATCH($C13,Inventory!$A$4:$A$253,0)),0))</f>
        <v/>
      </c>
      <c r="I13" s="34" t="n"/>
      <c r="J13" s="38">
        <f>IF($C13="","",MAX(0,$E13*$F13-$G13))</f>
        <v/>
      </c>
      <c r="K13" s="38">
        <f>IF(OR($C13="",$I13="No"),0,ROUND($J13*IFERROR(INDEX(Shows!$F$4:$F$23,MATCH($B13,Shows!$A$4:$A$23,0)),0),2))</f>
        <v/>
      </c>
      <c r="L13" s="38">
        <f>IF($C13="","",$E13*$H13)</f>
        <v/>
      </c>
      <c r="M13" s="38">
        <f>IF($C13="","",$J13-$L13-$P13)</f>
        <v/>
      </c>
      <c r="N13" s="34" t="n"/>
      <c r="O13" s="34" t="n"/>
      <c r="P13" s="38">
        <f>IF(OR($C13="",$N13&lt;&gt;"Card"),0,ROUND(($J13+$K13)*IFERROR(INDEX(Shows!$G$4:$G$23,MATCH($B13,Shows!$A$4:$A$23,0)),0)+IFERROR(INDEX(Shows!$H$4:$H$23,MATCH($B13,Shows!$A$4:$A$23,0)),0),2))</f>
        <v/>
      </c>
      <c r="Q13" s="38">
        <f>IF($C13="","",$J13+$K13-$P13)</f>
        <v/>
      </c>
      <c r="R13" s="34" t="n"/>
      <c r="S13" s="34" t="n"/>
      <c r="T13" s="34" t="n"/>
    </row>
    <row r="14">
      <c r="A14" s="46" t="n"/>
      <c r="B14" s="40" t="n"/>
      <c r="C14" s="40" t="n"/>
      <c r="D14" s="11">
        <f>IF($C14="","",IFERROR(INDEX(Inventory!$B$4:$B$253,MATCH($C14,Inventory!$A$4:$A$253,0))&amp;" "&amp;INDEX(Inventory!$C$4:$C$253,MATCH($C14,Inventory!$A$4:$A$253,0)),"SKU not in Inventory"))</f>
        <v/>
      </c>
      <c r="E14" s="42" t="n"/>
      <c r="F14" s="41" t="n"/>
      <c r="G14" s="41" t="n"/>
      <c r="H14" s="47">
        <f>IF($C14="","",IFERROR(INDEX(Inventory!$H$4:$H$253,MATCH($C14,Inventory!$A$4:$A$253,0)),0))</f>
        <v/>
      </c>
      <c r="I14" s="40" t="n"/>
      <c r="J14" s="44">
        <f>IF($C14="","",MAX(0,$E14*$F14-$G14))</f>
        <v/>
      </c>
      <c r="K14" s="44">
        <f>IF(OR($C14="",$I14="No"),0,ROUND($J14*IFERROR(INDEX(Shows!$F$4:$F$23,MATCH($B14,Shows!$A$4:$A$23,0)),0),2))</f>
        <v/>
      </c>
      <c r="L14" s="44">
        <f>IF($C14="","",$E14*$H14)</f>
        <v/>
      </c>
      <c r="M14" s="44">
        <f>IF($C14="","",$J14-$L14-$P14)</f>
        <v/>
      </c>
      <c r="N14" s="40" t="n"/>
      <c r="O14" s="40" t="n"/>
      <c r="P14" s="44">
        <f>IF(OR($C14="",$N14&lt;&gt;"Card"),0,ROUND(($J14+$K14)*IFERROR(INDEX(Shows!$G$4:$G$23,MATCH($B14,Shows!$A$4:$A$23,0)),0)+IFERROR(INDEX(Shows!$H$4:$H$23,MATCH($B14,Shows!$A$4:$A$23,0)),0),2))</f>
        <v/>
      </c>
      <c r="Q14" s="44">
        <f>IF($C14="","",$J14+$K14-$P14)</f>
        <v/>
      </c>
      <c r="R14" s="40" t="n"/>
      <c r="S14" s="40" t="n"/>
      <c r="T14" s="40" t="n"/>
    </row>
    <row r="15">
      <c r="A15" s="48" t="n"/>
      <c r="B15" s="34" t="n"/>
      <c r="C15" s="34" t="n"/>
      <c r="D15" s="15">
        <f>IF($C15="","",IFERROR(INDEX(Inventory!$B$4:$B$253,MATCH($C15,Inventory!$A$4:$A$253,0))&amp;" "&amp;INDEX(Inventory!$C$4:$C$253,MATCH($C15,Inventory!$A$4:$A$253,0)),"SKU not in Inventory"))</f>
        <v/>
      </c>
      <c r="E15" s="36" t="n"/>
      <c r="F15" s="35" t="n"/>
      <c r="G15" s="35" t="n"/>
      <c r="H15" s="49">
        <f>IF($C15="","",IFERROR(INDEX(Inventory!$H$4:$H$253,MATCH($C15,Inventory!$A$4:$A$253,0)),0))</f>
        <v/>
      </c>
      <c r="I15" s="34" t="n"/>
      <c r="J15" s="38">
        <f>IF($C15="","",MAX(0,$E15*$F15-$G15))</f>
        <v/>
      </c>
      <c r="K15" s="38">
        <f>IF(OR($C15="",$I15="No"),0,ROUND($J15*IFERROR(INDEX(Shows!$F$4:$F$23,MATCH($B15,Shows!$A$4:$A$23,0)),0),2))</f>
        <v/>
      </c>
      <c r="L15" s="38">
        <f>IF($C15="","",$E15*$H15)</f>
        <v/>
      </c>
      <c r="M15" s="38">
        <f>IF($C15="","",$J15-$L15-$P15)</f>
        <v/>
      </c>
      <c r="N15" s="34" t="n"/>
      <c r="O15" s="34" t="n"/>
      <c r="P15" s="38">
        <f>IF(OR($C15="",$N15&lt;&gt;"Card"),0,ROUND(($J15+$K15)*IFERROR(INDEX(Shows!$G$4:$G$23,MATCH($B15,Shows!$A$4:$A$23,0)),0)+IFERROR(INDEX(Shows!$H$4:$H$23,MATCH($B15,Shows!$A$4:$A$23,0)),0),2))</f>
        <v/>
      </c>
      <c r="Q15" s="38">
        <f>IF($C15="","",$J15+$K15-$P15)</f>
        <v/>
      </c>
      <c r="R15" s="34" t="n"/>
      <c r="S15" s="34" t="n"/>
      <c r="T15" s="34" t="n"/>
    </row>
    <row r="16">
      <c r="A16" s="46" t="n"/>
      <c r="B16" s="40" t="n"/>
      <c r="C16" s="40" t="n"/>
      <c r="D16" s="11">
        <f>IF($C16="","",IFERROR(INDEX(Inventory!$B$4:$B$253,MATCH($C16,Inventory!$A$4:$A$253,0))&amp;" "&amp;INDEX(Inventory!$C$4:$C$253,MATCH($C16,Inventory!$A$4:$A$253,0)),"SKU not in Inventory"))</f>
        <v/>
      </c>
      <c r="E16" s="42" t="n"/>
      <c r="F16" s="41" t="n"/>
      <c r="G16" s="41" t="n"/>
      <c r="H16" s="47">
        <f>IF($C16="","",IFERROR(INDEX(Inventory!$H$4:$H$253,MATCH($C16,Inventory!$A$4:$A$253,0)),0))</f>
        <v/>
      </c>
      <c r="I16" s="40" t="n"/>
      <c r="J16" s="44">
        <f>IF($C16="","",MAX(0,$E16*$F16-$G16))</f>
        <v/>
      </c>
      <c r="K16" s="44">
        <f>IF(OR($C16="",$I16="No"),0,ROUND($J16*IFERROR(INDEX(Shows!$F$4:$F$23,MATCH($B16,Shows!$A$4:$A$23,0)),0),2))</f>
        <v/>
      </c>
      <c r="L16" s="44">
        <f>IF($C16="","",$E16*$H16)</f>
        <v/>
      </c>
      <c r="M16" s="44">
        <f>IF($C16="","",$J16-$L16-$P16)</f>
        <v/>
      </c>
      <c r="N16" s="40" t="n"/>
      <c r="O16" s="40" t="n"/>
      <c r="P16" s="44">
        <f>IF(OR($C16="",$N16&lt;&gt;"Card"),0,ROUND(($J16+$K16)*IFERROR(INDEX(Shows!$G$4:$G$23,MATCH($B16,Shows!$A$4:$A$23,0)),0)+IFERROR(INDEX(Shows!$H$4:$H$23,MATCH($B16,Shows!$A$4:$A$23,0)),0),2))</f>
        <v/>
      </c>
      <c r="Q16" s="44">
        <f>IF($C16="","",$J16+$K16-$P16)</f>
        <v/>
      </c>
      <c r="R16" s="40" t="n"/>
      <c r="S16" s="40" t="n"/>
      <c r="T16" s="40" t="n"/>
    </row>
    <row r="17">
      <c r="A17" s="48" t="n"/>
      <c r="B17" s="34" t="n"/>
      <c r="C17" s="34" t="n"/>
      <c r="D17" s="15">
        <f>IF($C17="","",IFERROR(INDEX(Inventory!$B$4:$B$253,MATCH($C17,Inventory!$A$4:$A$253,0))&amp;" "&amp;INDEX(Inventory!$C$4:$C$253,MATCH($C17,Inventory!$A$4:$A$253,0)),"SKU not in Inventory"))</f>
        <v/>
      </c>
      <c r="E17" s="36" t="n"/>
      <c r="F17" s="35" t="n"/>
      <c r="G17" s="35" t="n"/>
      <c r="H17" s="49">
        <f>IF($C17="","",IFERROR(INDEX(Inventory!$H$4:$H$253,MATCH($C17,Inventory!$A$4:$A$253,0)),0))</f>
        <v/>
      </c>
      <c r="I17" s="34" t="n"/>
      <c r="J17" s="38">
        <f>IF($C17="","",MAX(0,$E17*$F17-$G17))</f>
        <v/>
      </c>
      <c r="K17" s="38">
        <f>IF(OR($C17="",$I17="No"),0,ROUND($J17*IFERROR(INDEX(Shows!$F$4:$F$23,MATCH($B17,Shows!$A$4:$A$23,0)),0),2))</f>
        <v/>
      </c>
      <c r="L17" s="38">
        <f>IF($C17="","",$E17*$H17)</f>
        <v/>
      </c>
      <c r="M17" s="38">
        <f>IF($C17="","",$J17-$L17-$P17)</f>
        <v/>
      </c>
      <c r="N17" s="34" t="n"/>
      <c r="O17" s="34" t="n"/>
      <c r="P17" s="38">
        <f>IF(OR($C17="",$N17&lt;&gt;"Card"),0,ROUND(($J17+$K17)*IFERROR(INDEX(Shows!$G$4:$G$23,MATCH($B17,Shows!$A$4:$A$23,0)),0)+IFERROR(INDEX(Shows!$H$4:$H$23,MATCH($B17,Shows!$A$4:$A$23,0)),0),2))</f>
        <v/>
      </c>
      <c r="Q17" s="38">
        <f>IF($C17="","",$J17+$K17-$P17)</f>
        <v/>
      </c>
      <c r="R17" s="34" t="n"/>
      <c r="S17" s="34" t="n"/>
      <c r="T17" s="34" t="n"/>
    </row>
    <row r="18">
      <c r="A18" s="46" t="n"/>
      <c r="B18" s="40" t="n"/>
      <c r="C18" s="40" t="n"/>
      <c r="D18" s="11">
        <f>IF($C18="","",IFERROR(INDEX(Inventory!$B$4:$B$253,MATCH($C18,Inventory!$A$4:$A$253,0))&amp;" "&amp;INDEX(Inventory!$C$4:$C$253,MATCH($C18,Inventory!$A$4:$A$253,0)),"SKU not in Inventory"))</f>
        <v/>
      </c>
      <c r="E18" s="42" t="n"/>
      <c r="F18" s="41" t="n"/>
      <c r="G18" s="41" t="n"/>
      <c r="H18" s="47">
        <f>IF($C18="","",IFERROR(INDEX(Inventory!$H$4:$H$253,MATCH($C18,Inventory!$A$4:$A$253,0)),0))</f>
        <v/>
      </c>
      <c r="I18" s="40" t="n"/>
      <c r="J18" s="44">
        <f>IF($C18="","",MAX(0,$E18*$F18-$G18))</f>
        <v/>
      </c>
      <c r="K18" s="44">
        <f>IF(OR($C18="",$I18="No"),0,ROUND($J18*IFERROR(INDEX(Shows!$F$4:$F$23,MATCH($B18,Shows!$A$4:$A$23,0)),0),2))</f>
        <v/>
      </c>
      <c r="L18" s="44">
        <f>IF($C18="","",$E18*$H18)</f>
        <v/>
      </c>
      <c r="M18" s="44">
        <f>IF($C18="","",$J18-$L18-$P18)</f>
        <v/>
      </c>
      <c r="N18" s="40" t="n"/>
      <c r="O18" s="40" t="n"/>
      <c r="P18" s="44">
        <f>IF(OR($C18="",$N18&lt;&gt;"Card"),0,ROUND(($J18+$K18)*IFERROR(INDEX(Shows!$G$4:$G$23,MATCH($B18,Shows!$A$4:$A$23,0)),0)+IFERROR(INDEX(Shows!$H$4:$H$23,MATCH($B18,Shows!$A$4:$A$23,0)),0),2))</f>
        <v/>
      </c>
      <c r="Q18" s="44">
        <f>IF($C18="","",$J18+$K18-$P18)</f>
        <v/>
      </c>
      <c r="R18" s="40" t="n"/>
      <c r="S18" s="40" t="n"/>
      <c r="T18" s="40" t="n"/>
    </row>
    <row r="19">
      <c r="A19" s="48" t="n"/>
      <c r="B19" s="34" t="n"/>
      <c r="C19" s="34" t="n"/>
      <c r="D19" s="15">
        <f>IF($C19="","",IFERROR(INDEX(Inventory!$B$4:$B$253,MATCH($C19,Inventory!$A$4:$A$253,0))&amp;" "&amp;INDEX(Inventory!$C$4:$C$253,MATCH($C19,Inventory!$A$4:$A$253,0)),"SKU not in Inventory"))</f>
        <v/>
      </c>
      <c r="E19" s="36" t="n"/>
      <c r="F19" s="35" t="n"/>
      <c r="G19" s="35" t="n"/>
      <c r="H19" s="49">
        <f>IF($C19="","",IFERROR(INDEX(Inventory!$H$4:$H$253,MATCH($C19,Inventory!$A$4:$A$253,0)),0))</f>
        <v/>
      </c>
      <c r="I19" s="34" t="n"/>
      <c r="J19" s="38">
        <f>IF($C19="","",MAX(0,$E19*$F19-$G19))</f>
        <v/>
      </c>
      <c r="K19" s="38">
        <f>IF(OR($C19="",$I19="No"),0,ROUND($J19*IFERROR(INDEX(Shows!$F$4:$F$23,MATCH($B19,Shows!$A$4:$A$23,0)),0),2))</f>
        <v/>
      </c>
      <c r="L19" s="38">
        <f>IF($C19="","",$E19*$H19)</f>
        <v/>
      </c>
      <c r="M19" s="38">
        <f>IF($C19="","",$J19-$L19-$P19)</f>
        <v/>
      </c>
      <c r="N19" s="34" t="n"/>
      <c r="O19" s="34" t="n"/>
      <c r="P19" s="38">
        <f>IF(OR($C19="",$N19&lt;&gt;"Card"),0,ROUND(($J19+$K19)*IFERROR(INDEX(Shows!$G$4:$G$23,MATCH($B19,Shows!$A$4:$A$23,0)),0)+IFERROR(INDEX(Shows!$H$4:$H$23,MATCH($B19,Shows!$A$4:$A$23,0)),0),2))</f>
        <v/>
      </c>
      <c r="Q19" s="38">
        <f>IF($C19="","",$J19+$K19-$P19)</f>
        <v/>
      </c>
      <c r="R19" s="34" t="n"/>
      <c r="S19" s="34" t="n"/>
      <c r="T19" s="34" t="n"/>
    </row>
    <row r="20">
      <c r="A20" s="46" t="n"/>
      <c r="B20" s="40" t="n"/>
      <c r="C20" s="40" t="n"/>
      <c r="D20" s="11">
        <f>IF($C20="","",IFERROR(INDEX(Inventory!$B$4:$B$253,MATCH($C20,Inventory!$A$4:$A$253,0))&amp;" "&amp;INDEX(Inventory!$C$4:$C$253,MATCH($C20,Inventory!$A$4:$A$253,0)),"SKU not in Inventory"))</f>
        <v/>
      </c>
      <c r="E20" s="42" t="n"/>
      <c r="F20" s="41" t="n"/>
      <c r="G20" s="41" t="n"/>
      <c r="H20" s="47">
        <f>IF($C20="","",IFERROR(INDEX(Inventory!$H$4:$H$253,MATCH($C20,Inventory!$A$4:$A$253,0)),0))</f>
        <v/>
      </c>
      <c r="I20" s="40" t="n"/>
      <c r="J20" s="44">
        <f>IF($C20="","",MAX(0,$E20*$F20-$G20))</f>
        <v/>
      </c>
      <c r="K20" s="44">
        <f>IF(OR($C20="",$I20="No"),0,ROUND($J20*IFERROR(INDEX(Shows!$F$4:$F$23,MATCH($B20,Shows!$A$4:$A$23,0)),0),2))</f>
        <v/>
      </c>
      <c r="L20" s="44">
        <f>IF($C20="","",$E20*$H20)</f>
        <v/>
      </c>
      <c r="M20" s="44">
        <f>IF($C20="","",$J20-$L20-$P20)</f>
        <v/>
      </c>
      <c r="N20" s="40" t="n"/>
      <c r="O20" s="40" t="n"/>
      <c r="P20" s="44">
        <f>IF(OR($C20="",$N20&lt;&gt;"Card"),0,ROUND(($J20+$K20)*IFERROR(INDEX(Shows!$G$4:$G$23,MATCH($B20,Shows!$A$4:$A$23,0)),0)+IFERROR(INDEX(Shows!$H$4:$H$23,MATCH($B20,Shows!$A$4:$A$23,0)),0),2))</f>
        <v/>
      </c>
      <c r="Q20" s="44">
        <f>IF($C20="","",$J20+$K20-$P20)</f>
        <v/>
      </c>
      <c r="R20" s="40" t="n"/>
      <c r="S20" s="40" t="n"/>
      <c r="T20" s="40" t="n"/>
    </row>
    <row r="21">
      <c r="A21" s="48" t="n"/>
      <c r="B21" s="34" t="n"/>
      <c r="C21" s="34" t="n"/>
      <c r="D21" s="15">
        <f>IF($C21="","",IFERROR(INDEX(Inventory!$B$4:$B$253,MATCH($C21,Inventory!$A$4:$A$253,0))&amp;" "&amp;INDEX(Inventory!$C$4:$C$253,MATCH($C21,Inventory!$A$4:$A$253,0)),"SKU not in Inventory"))</f>
        <v/>
      </c>
      <c r="E21" s="36" t="n"/>
      <c r="F21" s="35" t="n"/>
      <c r="G21" s="35" t="n"/>
      <c r="H21" s="49">
        <f>IF($C21="","",IFERROR(INDEX(Inventory!$H$4:$H$253,MATCH($C21,Inventory!$A$4:$A$253,0)),0))</f>
        <v/>
      </c>
      <c r="I21" s="34" t="n"/>
      <c r="J21" s="38">
        <f>IF($C21="","",MAX(0,$E21*$F21-$G21))</f>
        <v/>
      </c>
      <c r="K21" s="38">
        <f>IF(OR($C21="",$I21="No"),0,ROUND($J21*IFERROR(INDEX(Shows!$F$4:$F$23,MATCH($B21,Shows!$A$4:$A$23,0)),0),2))</f>
        <v/>
      </c>
      <c r="L21" s="38">
        <f>IF($C21="","",$E21*$H21)</f>
        <v/>
      </c>
      <c r="M21" s="38">
        <f>IF($C21="","",$J21-$L21-$P21)</f>
        <v/>
      </c>
      <c r="N21" s="34" t="n"/>
      <c r="O21" s="34" t="n"/>
      <c r="P21" s="38">
        <f>IF(OR($C21="",$N21&lt;&gt;"Card"),0,ROUND(($J21+$K21)*IFERROR(INDEX(Shows!$G$4:$G$23,MATCH($B21,Shows!$A$4:$A$23,0)),0)+IFERROR(INDEX(Shows!$H$4:$H$23,MATCH($B21,Shows!$A$4:$A$23,0)),0),2))</f>
        <v/>
      </c>
      <c r="Q21" s="38">
        <f>IF($C21="","",$J21+$K21-$P21)</f>
        <v/>
      </c>
      <c r="R21" s="34" t="n"/>
      <c r="S21" s="34" t="n"/>
      <c r="T21" s="34" t="n"/>
    </row>
    <row r="22">
      <c r="A22" s="46" t="n"/>
      <c r="B22" s="40" t="n"/>
      <c r="C22" s="40" t="n"/>
      <c r="D22" s="11">
        <f>IF($C22="","",IFERROR(INDEX(Inventory!$B$4:$B$253,MATCH($C22,Inventory!$A$4:$A$253,0))&amp;" "&amp;INDEX(Inventory!$C$4:$C$253,MATCH($C22,Inventory!$A$4:$A$253,0)),"SKU not in Inventory"))</f>
        <v/>
      </c>
      <c r="E22" s="42" t="n"/>
      <c r="F22" s="41" t="n"/>
      <c r="G22" s="41" t="n"/>
      <c r="H22" s="47">
        <f>IF($C22="","",IFERROR(INDEX(Inventory!$H$4:$H$253,MATCH($C22,Inventory!$A$4:$A$253,0)),0))</f>
        <v/>
      </c>
      <c r="I22" s="40" t="n"/>
      <c r="J22" s="44">
        <f>IF($C22="","",MAX(0,$E22*$F22-$G22))</f>
        <v/>
      </c>
      <c r="K22" s="44">
        <f>IF(OR($C22="",$I22="No"),0,ROUND($J22*IFERROR(INDEX(Shows!$F$4:$F$23,MATCH($B22,Shows!$A$4:$A$23,0)),0),2))</f>
        <v/>
      </c>
      <c r="L22" s="44">
        <f>IF($C22="","",$E22*$H22)</f>
        <v/>
      </c>
      <c r="M22" s="44">
        <f>IF($C22="","",$J22-$L22-$P22)</f>
        <v/>
      </c>
      <c r="N22" s="40" t="n"/>
      <c r="O22" s="40" t="n"/>
      <c r="P22" s="44">
        <f>IF(OR($C22="",$N22&lt;&gt;"Card"),0,ROUND(($J22+$K22)*IFERROR(INDEX(Shows!$G$4:$G$23,MATCH($B22,Shows!$A$4:$A$23,0)),0)+IFERROR(INDEX(Shows!$H$4:$H$23,MATCH($B22,Shows!$A$4:$A$23,0)),0),2))</f>
        <v/>
      </c>
      <c r="Q22" s="44">
        <f>IF($C22="","",$J22+$K22-$P22)</f>
        <v/>
      </c>
      <c r="R22" s="40" t="n"/>
      <c r="S22" s="40" t="n"/>
      <c r="T22" s="40" t="n"/>
    </row>
    <row r="23">
      <c r="A23" s="48" t="n"/>
      <c r="B23" s="34" t="n"/>
      <c r="C23" s="34" t="n"/>
      <c r="D23" s="15">
        <f>IF($C23="","",IFERROR(INDEX(Inventory!$B$4:$B$253,MATCH($C23,Inventory!$A$4:$A$253,0))&amp;" "&amp;INDEX(Inventory!$C$4:$C$253,MATCH($C23,Inventory!$A$4:$A$253,0)),"SKU not in Inventory"))</f>
        <v/>
      </c>
      <c r="E23" s="36" t="n"/>
      <c r="F23" s="35" t="n"/>
      <c r="G23" s="35" t="n"/>
      <c r="H23" s="49">
        <f>IF($C23="","",IFERROR(INDEX(Inventory!$H$4:$H$253,MATCH($C23,Inventory!$A$4:$A$253,0)),0))</f>
        <v/>
      </c>
      <c r="I23" s="34" t="n"/>
      <c r="J23" s="38">
        <f>IF($C23="","",MAX(0,$E23*$F23-$G23))</f>
        <v/>
      </c>
      <c r="K23" s="38">
        <f>IF(OR($C23="",$I23="No"),0,ROUND($J23*IFERROR(INDEX(Shows!$F$4:$F$23,MATCH($B23,Shows!$A$4:$A$23,0)),0),2))</f>
        <v/>
      </c>
      <c r="L23" s="38">
        <f>IF($C23="","",$E23*$H23)</f>
        <v/>
      </c>
      <c r="M23" s="38">
        <f>IF($C23="","",$J23-$L23-$P23)</f>
        <v/>
      </c>
      <c r="N23" s="34" t="n"/>
      <c r="O23" s="34" t="n"/>
      <c r="P23" s="38">
        <f>IF(OR($C23="",$N23&lt;&gt;"Card"),0,ROUND(($J23+$K23)*IFERROR(INDEX(Shows!$G$4:$G$23,MATCH($B23,Shows!$A$4:$A$23,0)),0)+IFERROR(INDEX(Shows!$H$4:$H$23,MATCH($B23,Shows!$A$4:$A$23,0)),0),2))</f>
        <v/>
      </c>
      <c r="Q23" s="38">
        <f>IF($C23="","",$J23+$K23-$P23)</f>
        <v/>
      </c>
      <c r="R23" s="34" t="n"/>
      <c r="S23" s="34" t="n"/>
      <c r="T23" s="34" t="n"/>
    </row>
    <row r="24">
      <c r="A24" s="46" t="n"/>
      <c r="B24" s="40" t="n"/>
      <c r="C24" s="40" t="n"/>
      <c r="D24" s="11">
        <f>IF($C24="","",IFERROR(INDEX(Inventory!$B$4:$B$253,MATCH($C24,Inventory!$A$4:$A$253,0))&amp;" "&amp;INDEX(Inventory!$C$4:$C$253,MATCH($C24,Inventory!$A$4:$A$253,0)),"SKU not in Inventory"))</f>
        <v/>
      </c>
      <c r="E24" s="42" t="n"/>
      <c r="F24" s="41" t="n"/>
      <c r="G24" s="41" t="n"/>
      <c r="H24" s="47">
        <f>IF($C24="","",IFERROR(INDEX(Inventory!$H$4:$H$253,MATCH($C24,Inventory!$A$4:$A$253,0)),0))</f>
        <v/>
      </c>
      <c r="I24" s="40" t="n"/>
      <c r="J24" s="44">
        <f>IF($C24="","",MAX(0,$E24*$F24-$G24))</f>
        <v/>
      </c>
      <c r="K24" s="44">
        <f>IF(OR($C24="",$I24="No"),0,ROUND($J24*IFERROR(INDEX(Shows!$F$4:$F$23,MATCH($B24,Shows!$A$4:$A$23,0)),0),2))</f>
        <v/>
      </c>
      <c r="L24" s="44">
        <f>IF($C24="","",$E24*$H24)</f>
        <v/>
      </c>
      <c r="M24" s="44">
        <f>IF($C24="","",$J24-$L24-$P24)</f>
        <v/>
      </c>
      <c r="N24" s="40" t="n"/>
      <c r="O24" s="40" t="n"/>
      <c r="P24" s="44">
        <f>IF(OR($C24="",$N24&lt;&gt;"Card"),0,ROUND(($J24+$K24)*IFERROR(INDEX(Shows!$G$4:$G$23,MATCH($B24,Shows!$A$4:$A$23,0)),0)+IFERROR(INDEX(Shows!$H$4:$H$23,MATCH($B24,Shows!$A$4:$A$23,0)),0),2))</f>
        <v/>
      </c>
      <c r="Q24" s="44">
        <f>IF($C24="","",$J24+$K24-$P24)</f>
        <v/>
      </c>
      <c r="R24" s="40" t="n"/>
      <c r="S24" s="40" t="n"/>
      <c r="T24" s="40" t="n"/>
    </row>
    <row r="25">
      <c r="A25" s="48" t="n"/>
      <c r="B25" s="34" t="n"/>
      <c r="C25" s="34" t="n"/>
      <c r="D25" s="15">
        <f>IF($C25="","",IFERROR(INDEX(Inventory!$B$4:$B$253,MATCH($C25,Inventory!$A$4:$A$253,0))&amp;" "&amp;INDEX(Inventory!$C$4:$C$253,MATCH($C25,Inventory!$A$4:$A$253,0)),"SKU not in Inventory"))</f>
        <v/>
      </c>
      <c r="E25" s="36" t="n"/>
      <c r="F25" s="35" t="n"/>
      <c r="G25" s="35" t="n"/>
      <c r="H25" s="49">
        <f>IF($C25="","",IFERROR(INDEX(Inventory!$H$4:$H$253,MATCH($C25,Inventory!$A$4:$A$253,0)),0))</f>
        <v/>
      </c>
      <c r="I25" s="34" t="n"/>
      <c r="J25" s="38">
        <f>IF($C25="","",MAX(0,$E25*$F25-$G25))</f>
        <v/>
      </c>
      <c r="K25" s="38">
        <f>IF(OR($C25="",$I25="No"),0,ROUND($J25*IFERROR(INDEX(Shows!$F$4:$F$23,MATCH($B25,Shows!$A$4:$A$23,0)),0),2))</f>
        <v/>
      </c>
      <c r="L25" s="38">
        <f>IF($C25="","",$E25*$H25)</f>
        <v/>
      </c>
      <c r="M25" s="38">
        <f>IF($C25="","",$J25-$L25-$P25)</f>
        <v/>
      </c>
      <c r="N25" s="34" t="n"/>
      <c r="O25" s="34" t="n"/>
      <c r="P25" s="38">
        <f>IF(OR($C25="",$N25&lt;&gt;"Card"),0,ROUND(($J25+$K25)*IFERROR(INDEX(Shows!$G$4:$G$23,MATCH($B25,Shows!$A$4:$A$23,0)),0)+IFERROR(INDEX(Shows!$H$4:$H$23,MATCH($B25,Shows!$A$4:$A$23,0)),0),2))</f>
        <v/>
      </c>
      <c r="Q25" s="38">
        <f>IF($C25="","",$J25+$K25-$P25)</f>
        <v/>
      </c>
      <c r="R25" s="34" t="n"/>
      <c r="S25" s="34" t="n"/>
      <c r="T25" s="34" t="n"/>
    </row>
    <row r="26">
      <c r="A26" s="46" t="n"/>
      <c r="B26" s="40" t="n"/>
      <c r="C26" s="40" t="n"/>
      <c r="D26" s="11">
        <f>IF($C26="","",IFERROR(INDEX(Inventory!$B$4:$B$253,MATCH($C26,Inventory!$A$4:$A$253,0))&amp;" "&amp;INDEX(Inventory!$C$4:$C$253,MATCH($C26,Inventory!$A$4:$A$253,0)),"SKU not in Inventory"))</f>
        <v/>
      </c>
      <c r="E26" s="42" t="n"/>
      <c r="F26" s="41" t="n"/>
      <c r="G26" s="41" t="n"/>
      <c r="H26" s="47">
        <f>IF($C26="","",IFERROR(INDEX(Inventory!$H$4:$H$253,MATCH($C26,Inventory!$A$4:$A$253,0)),0))</f>
        <v/>
      </c>
      <c r="I26" s="40" t="n"/>
      <c r="J26" s="44">
        <f>IF($C26="","",MAX(0,$E26*$F26-$G26))</f>
        <v/>
      </c>
      <c r="K26" s="44">
        <f>IF(OR($C26="",$I26="No"),0,ROUND($J26*IFERROR(INDEX(Shows!$F$4:$F$23,MATCH($B26,Shows!$A$4:$A$23,0)),0),2))</f>
        <v/>
      </c>
      <c r="L26" s="44">
        <f>IF($C26="","",$E26*$H26)</f>
        <v/>
      </c>
      <c r="M26" s="44">
        <f>IF($C26="","",$J26-$L26-$P26)</f>
        <v/>
      </c>
      <c r="N26" s="40" t="n"/>
      <c r="O26" s="40" t="n"/>
      <c r="P26" s="44">
        <f>IF(OR($C26="",$N26&lt;&gt;"Card"),0,ROUND(($J26+$K26)*IFERROR(INDEX(Shows!$G$4:$G$23,MATCH($B26,Shows!$A$4:$A$23,0)),0)+IFERROR(INDEX(Shows!$H$4:$H$23,MATCH($B26,Shows!$A$4:$A$23,0)),0),2))</f>
        <v/>
      </c>
      <c r="Q26" s="44">
        <f>IF($C26="","",$J26+$K26-$P26)</f>
        <v/>
      </c>
      <c r="R26" s="40" t="n"/>
      <c r="S26" s="40" t="n"/>
      <c r="T26" s="40" t="n"/>
    </row>
    <row r="27">
      <c r="A27" s="48" t="n"/>
      <c r="B27" s="34" t="n"/>
      <c r="C27" s="34" t="n"/>
      <c r="D27" s="15">
        <f>IF($C27="","",IFERROR(INDEX(Inventory!$B$4:$B$253,MATCH($C27,Inventory!$A$4:$A$253,0))&amp;" "&amp;INDEX(Inventory!$C$4:$C$253,MATCH($C27,Inventory!$A$4:$A$253,0)),"SKU not in Inventory"))</f>
        <v/>
      </c>
      <c r="E27" s="36" t="n"/>
      <c r="F27" s="35" t="n"/>
      <c r="G27" s="35" t="n"/>
      <c r="H27" s="49">
        <f>IF($C27="","",IFERROR(INDEX(Inventory!$H$4:$H$253,MATCH($C27,Inventory!$A$4:$A$253,0)),0))</f>
        <v/>
      </c>
      <c r="I27" s="34" t="n"/>
      <c r="J27" s="38">
        <f>IF($C27="","",MAX(0,$E27*$F27-$G27))</f>
        <v/>
      </c>
      <c r="K27" s="38">
        <f>IF(OR($C27="",$I27="No"),0,ROUND($J27*IFERROR(INDEX(Shows!$F$4:$F$23,MATCH($B27,Shows!$A$4:$A$23,0)),0),2))</f>
        <v/>
      </c>
      <c r="L27" s="38">
        <f>IF($C27="","",$E27*$H27)</f>
        <v/>
      </c>
      <c r="M27" s="38">
        <f>IF($C27="","",$J27-$L27-$P27)</f>
        <v/>
      </c>
      <c r="N27" s="34" t="n"/>
      <c r="O27" s="34" t="n"/>
      <c r="P27" s="38">
        <f>IF(OR($C27="",$N27&lt;&gt;"Card"),0,ROUND(($J27+$K27)*IFERROR(INDEX(Shows!$G$4:$G$23,MATCH($B27,Shows!$A$4:$A$23,0)),0)+IFERROR(INDEX(Shows!$H$4:$H$23,MATCH($B27,Shows!$A$4:$A$23,0)),0),2))</f>
        <v/>
      </c>
      <c r="Q27" s="38">
        <f>IF($C27="","",$J27+$K27-$P27)</f>
        <v/>
      </c>
      <c r="R27" s="34" t="n"/>
      <c r="S27" s="34" t="n"/>
      <c r="T27" s="34" t="n"/>
    </row>
    <row r="28">
      <c r="A28" s="46" t="n"/>
      <c r="B28" s="40" t="n"/>
      <c r="C28" s="40" t="n"/>
      <c r="D28" s="11">
        <f>IF($C28="","",IFERROR(INDEX(Inventory!$B$4:$B$253,MATCH($C28,Inventory!$A$4:$A$253,0))&amp;" "&amp;INDEX(Inventory!$C$4:$C$253,MATCH($C28,Inventory!$A$4:$A$253,0)),"SKU not in Inventory"))</f>
        <v/>
      </c>
      <c r="E28" s="42" t="n"/>
      <c r="F28" s="41" t="n"/>
      <c r="G28" s="41" t="n"/>
      <c r="H28" s="47">
        <f>IF($C28="","",IFERROR(INDEX(Inventory!$H$4:$H$253,MATCH($C28,Inventory!$A$4:$A$253,0)),0))</f>
        <v/>
      </c>
      <c r="I28" s="40" t="n"/>
      <c r="J28" s="44">
        <f>IF($C28="","",MAX(0,$E28*$F28-$G28))</f>
        <v/>
      </c>
      <c r="K28" s="44">
        <f>IF(OR($C28="",$I28="No"),0,ROUND($J28*IFERROR(INDEX(Shows!$F$4:$F$23,MATCH($B28,Shows!$A$4:$A$23,0)),0),2))</f>
        <v/>
      </c>
      <c r="L28" s="44">
        <f>IF($C28="","",$E28*$H28)</f>
        <v/>
      </c>
      <c r="M28" s="44">
        <f>IF($C28="","",$J28-$L28-$P28)</f>
        <v/>
      </c>
      <c r="N28" s="40" t="n"/>
      <c r="O28" s="40" t="n"/>
      <c r="P28" s="44">
        <f>IF(OR($C28="",$N28&lt;&gt;"Card"),0,ROUND(($J28+$K28)*IFERROR(INDEX(Shows!$G$4:$G$23,MATCH($B28,Shows!$A$4:$A$23,0)),0)+IFERROR(INDEX(Shows!$H$4:$H$23,MATCH($B28,Shows!$A$4:$A$23,0)),0),2))</f>
        <v/>
      </c>
      <c r="Q28" s="44">
        <f>IF($C28="","",$J28+$K28-$P28)</f>
        <v/>
      </c>
      <c r="R28" s="40" t="n"/>
      <c r="S28" s="40" t="n"/>
      <c r="T28" s="40" t="n"/>
    </row>
    <row r="29">
      <c r="A29" s="48" t="n"/>
      <c r="B29" s="34" t="n"/>
      <c r="C29" s="34" t="n"/>
      <c r="D29" s="15">
        <f>IF($C29="","",IFERROR(INDEX(Inventory!$B$4:$B$253,MATCH($C29,Inventory!$A$4:$A$253,0))&amp;" "&amp;INDEX(Inventory!$C$4:$C$253,MATCH($C29,Inventory!$A$4:$A$253,0)),"SKU not in Inventory"))</f>
        <v/>
      </c>
      <c r="E29" s="36" t="n"/>
      <c r="F29" s="35" t="n"/>
      <c r="G29" s="35" t="n"/>
      <c r="H29" s="49">
        <f>IF($C29="","",IFERROR(INDEX(Inventory!$H$4:$H$253,MATCH($C29,Inventory!$A$4:$A$253,0)),0))</f>
        <v/>
      </c>
      <c r="I29" s="34" t="n"/>
      <c r="J29" s="38">
        <f>IF($C29="","",MAX(0,$E29*$F29-$G29))</f>
        <v/>
      </c>
      <c r="K29" s="38">
        <f>IF(OR($C29="",$I29="No"),0,ROUND($J29*IFERROR(INDEX(Shows!$F$4:$F$23,MATCH($B29,Shows!$A$4:$A$23,0)),0),2))</f>
        <v/>
      </c>
      <c r="L29" s="38">
        <f>IF($C29="","",$E29*$H29)</f>
        <v/>
      </c>
      <c r="M29" s="38">
        <f>IF($C29="","",$J29-$L29-$P29)</f>
        <v/>
      </c>
      <c r="N29" s="34" t="n"/>
      <c r="O29" s="34" t="n"/>
      <c r="P29" s="38">
        <f>IF(OR($C29="",$N29&lt;&gt;"Card"),0,ROUND(($J29+$K29)*IFERROR(INDEX(Shows!$G$4:$G$23,MATCH($B29,Shows!$A$4:$A$23,0)),0)+IFERROR(INDEX(Shows!$H$4:$H$23,MATCH($B29,Shows!$A$4:$A$23,0)),0),2))</f>
        <v/>
      </c>
      <c r="Q29" s="38">
        <f>IF($C29="","",$J29+$K29-$P29)</f>
        <v/>
      </c>
      <c r="R29" s="34" t="n"/>
      <c r="S29" s="34" t="n"/>
      <c r="T29" s="34" t="n"/>
    </row>
    <row r="30">
      <c r="A30" s="46" t="n"/>
      <c r="B30" s="40" t="n"/>
      <c r="C30" s="40" t="n"/>
      <c r="D30" s="11">
        <f>IF($C30="","",IFERROR(INDEX(Inventory!$B$4:$B$253,MATCH($C30,Inventory!$A$4:$A$253,0))&amp;" "&amp;INDEX(Inventory!$C$4:$C$253,MATCH($C30,Inventory!$A$4:$A$253,0)),"SKU not in Inventory"))</f>
        <v/>
      </c>
      <c r="E30" s="42" t="n"/>
      <c r="F30" s="41" t="n"/>
      <c r="G30" s="41" t="n"/>
      <c r="H30" s="47">
        <f>IF($C30="","",IFERROR(INDEX(Inventory!$H$4:$H$253,MATCH($C30,Inventory!$A$4:$A$253,0)),0))</f>
        <v/>
      </c>
      <c r="I30" s="40" t="n"/>
      <c r="J30" s="44">
        <f>IF($C30="","",MAX(0,$E30*$F30-$G30))</f>
        <v/>
      </c>
      <c r="K30" s="44">
        <f>IF(OR($C30="",$I30="No"),0,ROUND($J30*IFERROR(INDEX(Shows!$F$4:$F$23,MATCH($B30,Shows!$A$4:$A$23,0)),0),2))</f>
        <v/>
      </c>
      <c r="L30" s="44">
        <f>IF($C30="","",$E30*$H30)</f>
        <v/>
      </c>
      <c r="M30" s="44">
        <f>IF($C30="","",$J30-$L30-$P30)</f>
        <v/>
      </c>
      <c r="N30" s="40" t="n"/>
      <c r="O30" s="40" t="n"/>
      <c r="P30" s="44">
        <f>IF(OR($C30="",$N30&lt;&gt;"Card"),0,ROUND(($J30+$K30)*IFERROR(INDEX(Shows!$G$4:$G$23,MATCH($B30,Shows!$A$4:$A$23,0)),0)+IFERROR(INDEX(Shows!$H$4:$H$23,MATCH($B30,Shows!$A$4:$A$23,0)),0),2))</f>
        <v/>
      </c>
      <c r="Q30" s="44">
        <f>IF($C30="","",$J30+$K30-$P30)</f>
        <v/>
      </c>
      <c r="R30" s="40" t="n"/>
      <c r="S30" s="40" t="n"/>
      <c r="T30" s="40" t="n"/>
    </row>
    <row r="31">
      <c r="A31" s="48" t="n"/>
      <c r="B31" s="34" t="n"/>
      <c r="C31" s="34" t="n"/>
      <c r="D31" s="15">
        <f>IF($C31="","",IFERROR(INDEX(Inventory!$B$4:$B$253,MATCH($C31,Inventory!$A$4:$A$253,0))&amp;" "&amp;INDEX(Inventory!$C$4:$C$253,MATCH($C31,Inventory!$A$4:$A$253,0)),"SKU not in Inventory"))</f>
        <v/>
      </c>
      <c r="E31" s="36" t="n"/>
      <c r="F31" s="35" t="n"/>
      <c r="G31" s="35" t="n"/>
      <c r="H31" s="49">
        <f>IF($C31="","",IFERROR(INDEX(Inventory!$H$4:$H$253,MATCH($C31,Inventory!$A$4:$A$253,0)),0))</f>
        <v/>
      </c>
      <c r="I31" s="34" t="n"/>
      <c r="J31" s="38">
        <f>IF($C31="","",MAX(0,$E31*$F31-$G31))</f>
        <v/>
      </c>
      <c r="K31" s="38">
        <f>IF(OR($C31="",$I31="No"),0,ROUND($J31*IFERROR(INDEX(Shows!$F$4:$F$23,MATCH($B31,Shows!$A$4:$A$23,0)),0),2))</f>
        <v/>
      </c>
      <c r="L31" s="38">
        <f>IF($C31="","",$E31*$H31)</f>
        <v/>
      </c>
      <c r="M31" s="38">
        <f>IF($C31="","",$J31-$L31-$P31)</f>
        <v/>
      </c>
      <c r="N31" s="34" t="n"/>
      <c r="O31" s="34" t="n"/>
      <c r="P31" s="38">
        <f>IF(OR($C31="",$N31&lt;&gt;"Card"),0,ROUND(($J31+$K31)*IFERROR(INDEX(Shows!$G$4:$G$23,MATCH($B31,Shows!$A$4:$A$23,0)),0)+IFERROR(INDEX(Shows!$H$4:$H$23,MATCH($B31,Shows!$A$4:$A$23,0)),0),2))</f>
        <v/>
      </c>
      <c r="Q31" s="38">
        <f>IF($C31="","",$J31+$K31-$P31)</f>
        <v/>
      </c>
      <c r="R31" s="34" t="n"/>
      <c r="S31" s="34" t="n"/>
      <c r="T31" s="34" t="n"/>
    </row>
    <row r="32">
      <c r="A32" s="46" t="n"/>
      <c r="B32" s="40" t="n"/>
      <c r="C32" s="40" t="n"/>
      <c r="D32" s="11">
        <f>IF($C32="","",IFERROR(INDEX(Inventory!$B$4:$B$253,MATCH($C32,Inventory!$A$4:$A$253,0))&amp;" "&amp;INDEX(Inventory!$C$4:$C$253,MATCH($C32,Inventory!$A$4:$A$253,0)),"SKU not in Inventory"))</f>
        <v/>
      </c>
      <c r="E32" s="42" t="n"/>
      <c r="F32" s="41" t="n"/>
      <c r="G32" s="41" t="n"/>
      <c r="H32" s="47">
        <f>IF($C32="","",IFERROR(INDEX(Inventory!$H$4:$H$253,MATCH($C32,Inventory!$A$4:$A$253,0)),0))</f>
        <v/>
      </c>
      <c r="I32" s="40" t="n"/>
      <c r="J32" s="44">
        <f>IF($C32="","",MAX(0,$E32*$F32-$G32))</f>
        <v/>
      </c>
      <c r="K32" s="44">
        <f>IF(OR($C32="",$I32="No"),0,ROUND($J32*IFERROR(INDEX(Shows!$F$4:$F$23,MATCH($B32,Shows!$A$4:$A$23,0)),0),2))</f>
        <v/>
      </c>
      <c r="L32" s="44">
        <f>IF($C32="","",$E32*$H32)</f>
        <v/>
      </c>
      <c r="M32" s="44">
        <f>IF($C32="","",$J32-$L32-$P32)</f>
        <v/>
      </c>
      <c r="N32" s="40" t="n"/>
      <c r="O32" s="40" t="n"/>
      <c r="P32" s="44">
        <f>IF(OR($C32="",$N32&lt;&gt;"Card"),0,ROUND(($J32+$K32)*IFERROR(INDEX(Shows!$G$4:$G$23,MATCH($B32,Shows!$A$4:$A$23,0)),0)+IFERROR(INDEX(Shows!$H$4:$H$23,MATCH($B32,Shows!$A$4:$A$23,0)),0),2))</f>
        <v/>
      </c>
      <c r="Q32" s="44">
        <f>IF($C32="","",$J32+$K32-$P32)</f>
        <v/>
      </c>
      <c r="R32" s="40" t="n"/>
      <c r="S32" s="40" t="n"/>
      <c r="T32" s="40" t="n"/>
    </row>
    <row r="33">
      <c r="A33" s="48" t="n"/>
      <c r="B33" s="34" t="n"/>
      <c r="C33" s="34" t="n"/>
      <c r="D33" s="15">
        <f>IF($C33="","",IFERROR(INDEX(Inventory!$B$4:$B$253,MATCH($C33,Inventory!$A$4:$A$253,0))&amp;" "&amp;INDEX(Inventory!$C$4:$C$253,MATCH($C33,Inventory!$A$4:$A$253,0)),"SKU not in Inventory"))</f>
        <v/>
      </c>
      <c r="E33" s="36" t="n"/>
      <c r="F33" s="35" t="n"/>
      <c r="G33" s="35" t="n"/>
      <c r="H33" s="49">
        <f>IF($C33="","",IFERROR(INDEX(Inventory!$H$4:$H$253,MATCH($C33,Inventory!$A$4:$A$253,0)),0))</f>
        <v/>
      </c>
      <c r="I33" s="34" t="n"/>
      <c r="J33" s="38">
        <f>IF($C33="","",MAX(0,$E33*$F33-$G33))</f>
        <v/>
      </c>
      <c r="K33" s="38">
        <f>IF(OR($C33="",$I33="No"),0,ROUND($J33*IFERROR(INDEX(Shows!$F$4:$F$23,MATCH($B33,Shows!$A$4:$A$23,0)),0),2))</f>
        <v/>
      </c>
      <c r="L33" s="38">
        <f>IF($C33="","",$E33*$H33)</f>
        <v/>
      </c>
      <c r="M33" s="38">
        <f>IF($C33="","",$J33-$L33-$P33)</f>
        <v/>
      </c>
      <c r="N33" s="34" t="n"/>
      <c r="O33" s="34" t="n"/>
      <c r="P33" s="38">
        <f>IF(OR($C33="",$N33&lt;&gt;"Card"),0,ROUND(($J33+$K33)*IFERROR(INDEX(Shows!$G$4:$G$23,MATCH($B33,Shows!$A$4:$A$23,0)),0)+IFERROR(INDEX(Shows!$H$4:$H$23,MATCH($B33,Shows!$A$4:$A$23,0)),0),2))</f>
        <v/>
      </c>
      <c r="Q33" s="38">
        <f>IF($C33="","",$J33+$K33-$P33)</f>
        <v/>
      </c>
      <c r="R33" s="34" t="n"/>
      <c r="S33" s="34" t="n"/>
      <c r="T33" s="34" t="n"/>
    </row>
    <row r="34">
      <c r="A34" s="46" t="n"/>
      <c r="B34" s="40" t="n"/>
      <c r="C34" s="40" t="n"/>
      <c r="D34" s="11">
        <f>IF($C34="","",IFERROR(INDEX(Inventory!$B$4:$B$253,MATCH($C34,Inventory!$A$4:$A$253,0))&amp;" "&amp;INDEX(Inventory!$C$4:$C$253,MATCH($C34,Inventory!$A$4:$A$253,0)),"SKU not in Inventory"))</f>
        <v/>
      </c>
      <c r="E34" s="42" t="n"/>
      <c r="F34" s="41" t="n"/>
      <c r="G34" s="41" t="n"/>
      <c r="H34" s="47">
        <f>IF($C34="","",IFERROR(INDEX(Inventory!$H$4:$H$253,MATCH($C34,Inventory!$A$4:$A$253,0)),0))</f>
        <v/>
      </c>
      <c r="I34" s="40" t="n"/>
      <c r="J34" s="44">
        <f>IF($C34="","",MAX(0,$E34*$F34-$G34))</f>
        <v/>
      </c>
      <c r="K34" s="44">
        <f>IF(OR($C34="",$I34="No"),0,ROUND($J34*IFERROR(INDEX(Shows!$F$4:$F$23,MATCH($B34,Shows!$A$4:$A$23,0)),0),2))</f>
        <v/>
      </c>
      <c r="L34" s="44">
        <f>IF($C34="","",$E34*$H34)</f>
        <v/>
      </c>
      <c r="M34" s="44">
        <f>IF($C34="","",$J34-$L34-$P34)</f>
        <v/>
      </c>
      <c r="N34" s="40" t="n"/>
      <c r="O34" s="40" t="n"/>
      <c r="P34" s="44">
        <f>IF(OR($C34="",$N34&lt;&gt;"Card"),0,ROUND(($J34+$K34)*IFERROR(INDEX(Shows!$G$4:$G$23,MATCH($B34,Shows!$A$4:$A$23,0)),0)+IFERROR(INDEX(Shows!$H$4:$H$23,MATCH($B34,Shows!$A$4:$A$23,0)),0),2))</f>
        <v/>
      </c>
      <c r="Q34" s="44">
        <f>IF($C34="","",$J34+$K34-$P34)</f>
        <v/>
      </c>
      <c r="R34" s="40" t="n"/>
      <c r="S34" s="40" t="n"/>
      <c r="T34" s="40" t="n"/>
    </row>
    <row r="35">
      <c r="A35" s="48" t="n"/>
      <c r="B35" s="34" t="n"/>
      <c r="C35" s="34" t="n"/>
      <c r="D35" s="15">
        <f>IF($C35="","",IFERROR(INDEX(Inventory!$B$4:$B$253,MATCH($C35,Inventory!$A$4:$A$253,0))&amp;" "&amp;INDEX(Inventory!$C$4:$C$253,MATCH($C35,Inventory!$A$4:$A$253,0)),"SKU not in Inventory"))</f>
        <v/>
      </c>
      <c r="E35" s="36" t="n"/>
      <c r="F35" s="35" t="n"/>
      <c r="G35" s="35" t="n"/>
      <c r="H35" s="49">
        <f>IF($C35="","",IFERROR(INDEX(Inventory!$H$4:$H$253,MATCH($C35,Inventory!$A$4:$A$253,0)),0))</f>
        <v/>
      </c>
      <c r="I35" s="34" t="n"/>
      <c r="J35" s="38">
        <f>IF($C35="","",MAX(0,$E35*$F35-$G35))</f>
        <v/>
      </c>
      <c r="K35" s="38">
        <f>IF(OR($C35="",$I35="No"),0,ROUND($J35*IFERROR(INDEX(Shows!$F$4:$F$23,MATCH($B35,Shows!$A$4:$A$23,0)),0),2))</f>
        <v/>
      </c>
      <c r="L35" s="38">
        <f>IF($C35="","",$E35*$H35)</f>
        <v/>
      </c>
      <c r="M35" s="38">
        <f>IF($C35="","",$J35-$L35-$P35)</f>
        <v/>
      </c>
      <c r="N35" s="34" t="n"/>
      <c r="O35" s="34" t="n"/>
      <c r="P35" s="38">
        <f>IF(OR($C35="",$N35&lt;&gt;"Card"),0,ROUND(($J35+$K35)*IFERROR(INDEX(Shows!$G$4:$G$23,MATCH($B35,Shows!$A$4:$A$23,0)),0)+IFERROR(INDEX(Shows!$H$4:$H$23,MATCH($B35,Shows!$A$4:$A$23,0)),0),2))</f>
        <v/>
      </c>
      <c r="Q35" s="38">
        <f>IF($C35="","",$J35+$K35-$P35)</f>
        <v/>
      </c>
      <c r="R35" s="34" t="n"/>
      <c r="S35" s="34" t="n"/>
      <c r="T35" s="34" t="n"/>
    </row>
    <row r="36">
      <c r="A36" s="46" t="n"/>
      <c r="B36" s="40" t="n"/>
      <c r="C36" s="40" t="n"/>
      <c r="D36" s="11">
        <f>IF($C36="","",IFERROR(INDEX(Inventory!$B$4:$B$253,MATCH($C36,Inventory!$A$4:$A$253,0))&amp;" "&amp;INDEX(Inventory!$C$4:$C$253,MATCH($C36,Inventory!$A$4:$A$253,0)),"SKU not in Inventory"))</f>
        <v/>
      </c>
      <c r="E36" s="42" t="n"/>
      <c r="F36" s="41" t="n"/>
      <c r="G36" s="41" t="n"/>
      <c r="H36" s="47">
        <f>IF($C36="","",IFERROR(INDEX(Inventory!$H$4:$H$253,MATCH($C36,Inventory!$A$4:$A$253,0)),0))</f>
        <v/>
      </c>
      <c r="I36" s="40" t="n"/>
      <c r="J36" s="44">
        <f>IF($C36="","",MAX(0,$E36*$F36-$G36))</f>
        <v/>
      </c>
      <c r="K36" s="44">
        <f>IF(OR($C36="",$I36="No"),0,ROUND($J36*IFERROR(INDEX(Shows!$F$4:$F$23,MATCH($B36,Shows!$A$4:$A$23,0)),0),2))</f>
        <v/>
      </c>
      <c r="L36" s="44">
        <f>IF($C36="","",$E36*$H36)</f>
        <v/>
      </c>
      <c r="M36" s="44">
        <f>IF($C36="","",$J36-$L36-$P36)</f>
        <v/>
      </c>
      <c r="N36" s="40" t="n"/>
      <c r="O36" s="40" t="n"/>
      <c r="P36" s="44">
        <f>IF(OR($C36="",$N36&lt;&gt;"Card"),0,ROUND(($J36+$K36)*IFERROR(INDEX(Shows!$G$4:$G$23,MATCH($B36,Shows!$A$4:$A$23,0)),0)+IFERROR(INDEX(Shows!$H$4:$H$23,MATCH($B36,Shows!$A$4:$A$23,0)),0),2))</f>
        <v/>
      </c>
      <c r="Q36" s="44">
        <f>IF($C36="","",$J36+$K36-$P36)</f>
        <v/>
      </c>
      <c r="R36" s="40" t="n"/>
      <c r="S36" s="40" t="n"/>
      <c r="T36" s="40" t="n"/>
    </row>
    <row r="37">
      <c r="A37" s="48" t="n"/>
      <c r="B37" s="34" t="n"/>
      <c r="C37" s="34" t="n"/>
      <c r="D37" s="15">
        <f>IF($C37="","",IFERROR(INDEX(Inventory!$B$4:$B$253,MATCH($C37,Inventory!$A$4:$A$253,0))&amp;" "&amp;INDEX(Inventory!$C$4:$C$253,MATCH($C37,Inventory!$A$4:$A$253,0)),"SKU not in Inventory"))</f>
        <v/>
      </c>
      <c r="E37" s="36" t="n"/>
      <c r="F37" s="35" t="n"/>
      <c r="G37" s="35" t="n"/>
      <c r="H37" s="49">
        <f>IF($C37="","",IFERROR(INDEX(Inventory!$H$4:$H$253,MATCH($C37,Inventory!$A$4:$A$253,0)),0))</f>
        <v/>
      </c>
      <c r="I37" s="34" t="n"/>
      <c r="J37" s="38">
        <f>IF($C37="","",MAX(0,$E37*$F37-$G37))</f>
        <v/>
      </c>
      <c r="K37" s="38">
        <f>IF(OR($C37="",$I37="No"),0,ROUND($J37*IFERROR(INDEX(Shows!$F$4:$F$23,MATCH($B37,Shows!$A$4:$A$23,0)),0),2))</f>
        <v/>
      </c>
      <c r="L37" s="38">
        <f>IF($C37="","",$E37*$H37)</f>
        <v/>
      </c>
      <c r="M37" s="38">
        <f>IF($C37="","",$J37-$L37-$P37)</f>
        <v/>
      </c>
      <c r="N37" s="34" t="n"/>
      <c r="O37" s="34" t="n"/>
      <c r="P37" s="38">
        <f>IF(OR($C37="",$N37&lt;&gt;"Card"),0,ROUND(($J37+$K37)*IFERROR(INDEX(Shows!$G$4:$G$23,MATCH($B37,Shows!$A$4:$A$23,0)),0)+IFERROR(INDEX(Shows!$H$4:$H$23,MATCH($B37,Shows!$A$4:$A$23,0)),0),2))</f>
        <v/>
      </c>
      <c r="Q37" s="38">
        <f>IF($C37="","",$J37+$K37-$P37)</f>
        <v/>
      </c>
      <c r="R37" s="34" t="n"/>
      <c r="S37" s="34" t="n"/>
      <c r="T37" s="34" t="n"/>
    </row>
    <row r="38">
      <c r="A38" s="46" t="n"/>
      <c r="B38" s="40" t="n"/>
      <c r="C38" s="40" t="n"/>
      <c r="D38" s="11">
        <f>IF($C38="","",IFERROR(INDEX(Inventory!$B$4:$B$253,MATCH($C38,Inventory!$A$4:$A$253,0))&amp;" "&amp;INDEX(Inventory!$C$4:$C$253,MATCH($C38,Inventory!$A$4:$A$253,0)),"SKU not in Inventory"))</f>
        <v/>
      </c>
      <c r="E38" s="42" t="n"/>
      <c r="F38" s="41" t="n"/>
      <c r="G38" s="41" t="n"/>
      <c r="H38" s="47">
        <f>IF($C38="","",IFERROR(INDEX(Inventory!$H$4:$H$253,MATCH($C38,Inventory!$A$4:$A$253,0)),0))</f>
        <v/>
      </c>
      <c r="I38" s="40" t="n"/>
      <c r="J38" s="44">
        <f>IF($C38="","",MAX(0,$E38*$F38-$G38))</f>
        <v/>
      </c>
      <c r="K38" s="44">
        <f>IF(OR($C38="",$I38="No"),0,ROUND($J38*IFERROR(INDEX(Shows!$F$4:$F$23,MATCH($B38,Shows!$A$4:$A$23,0)),0),2))</f>
        <v/>
      </c>
      <c r="L38" s="44">
        <f>IF($C38="","",$E38*$H38)</f>
        <v/>
      </c>
      <c r="M38" s="44">
        <f>IF($C38="","",$J38-$L38-$P38)</f>
        <v/>
      </c>
      <c r="N38" s="40" t="n"/>
      <c r="O38" s="40" t="n"/>
      <c r="P38" s="44">
        <f>IF(OR($C38="",$N38&lt;&gt;"Card"),0,ROUND(($J38+$K38)*IFERROR(INDEX(Shows!$G$4:$G$23,MATCH($B38,Shows!$A$4:$A$23,0)),0)+IFERROR(INDEX(Shows!$H$4:$H$23,MATCH($B38,Shows!$A$4:$A$23,0)),0),2))</f>
        <v/>
      </c>
      <c r="Q38" s="44">
        <f>IF($C38="","",$J38+$K38-$P38)</f>
        <v/>
      </c>
      <c r="R38" s="40" t="n"/>
      <c r="S38" s="40" t="n"/>
      <c r="T38" s="40" t="n"/>
    </row>
    <row r="39">
      <c r="A39" s="48" t="n"/>
      <c r="B39" s="34" t="n"/>
      <c r="C39" s="34" t="n"/>
      <c r="D39" s="15">
        <f>IF($C39="","",IFERROR(INDEX(Inventory!$B$4:$B$253,MATCH($C39,Inventory!$A$4:$A$253,0))&amp;" "&amp;INDEX(Inventory!$C$4:$C$253,MATCH($C39,Inventory!$A$4:$A$253,0)),"SKU not in Inventory"))</f>
        <v/>
      </c>
      <c r="E39" s="36" t="n"/>
      <c r="F39" s="35" t="n"/>
      <c r="G39" s="35" t="n"/>
      <c r="H39" s="49">
        <f>IF($C39="","",IFERROR(INDEX(Inventory!$H$4:$H$253,MATCH($C39,Inventory!$A$4:$A$253,0)),0))</f>
        <v/>
      </c>
      <c r="I39" s="34" t="n"/>
      <c r="J39" s="38">
        <f>IF($C39="","",MAX(0,$E39*$F39-$G39))</f>
        <v/>
      </c>
      <c r="K39" s="38">
        <f>IF(OR($C39="",$I39="No"),0,ROUND($J39*IFERROR(INDEX(Shows!$F$4:$F$23,MATCH($B39,Shows!$A$4:$A$23,0)),0),2))</f>
        <v/>
      </c>
      <c r="L39" s="38">
        <f>IF($C39="","",$E39*$H39)</f>
        <v/>
      </c>
      <c r="M39" s="38">
        <f>IF($C39="","",$J39-$L39-$P39)</f>
        <v/>
      </c>
      <c r="N39" s="34" t="n"/>
      <c r="O39" s="34" t="n"/>
      <c r="P39" s="38">
        <f>IF(OR($C39="",$N39&lt;&gt;"Card"),0,ROUND(($J39+$K39)*IFERROR(INDEX(Shows!$G$4:$G$23,MATCH($B39,Shows!$A$4:$A$23,0)),0)+IFERROR(INDEX(Shows!$H$4:$H$23,MATCH($B39,Shows!$A$4:$A$23,0)),0),2))</f>
        <v/>
      </c>
      <c r="Q39" s="38">
        <f>IF($C39="","",$J39+$K39-$P39)</f>
        <v/>
      </c>
      <c r="R39" s="34" t="n"/>
      <c r="S39" s="34" t="n"/>
      <c r="T39" s="34" t="n"/>
    </row>
    <row r="40">
      <c r="A40" s="46" t="n"/>
      <c r="B40" s="40" t="n"/>
      <c r="C40" s="40" t="n"/>
      <c r="D40" s="11">
        <f>IF($C40="","",IFERROR(INDEX(Inventory!$B$4:$B$253,MATCH($C40,Inventory!$A$4:$A$253,0))&amp;" "&amp;INDEX(Inventory!$C$4:$C$253,MATCH($C40,Inventory!$A$4:$A$253,0)),"SKU not in Inventory"))</f>
        <v/>
      </c>
      <c r="E40" s="42" t="n"/>
      <c r="F40" s="41" t="n"/>
      <c r="G40" s="41" t="n"/>
      <c r="H40" s="47">
        <f>IF($C40="","",IFERROR(INDEX(Inventory!$H$4:$H$253,MATCH($C40,Inventory!$A$4:$A$253,0)),0))</f>
        <v/>
      </c>
      <c r="I40" s="40" t="n"/>
      <c r="J40" s="44">
        <f>IF($C40="","",MAX(0,$E40*$F40-$G40))</f>
        <v/>
      </c>
      <c r="K40" s="44">
        <f>IF(OR($C40="",$I40="No"),0,ROUND($J40*IFERROR(INDEX(Shows!$F$4:$F$23,MATCH($B40,Shows!$A$4:$A$23,0)),0),2))</f>
        <v/>
      </c>
      <c r="L40" s="44">
        <f>IF($C40="","",$E40*$H40)</f>
        <v/>
      </c>
      <c r="M40" s="44">
        <f>IF($C40="","",$J40-$L40-$P40)</f>
        <v/>
      </c>
      <c r="N40" s="40" t="n"/>
      <c r="O40" s="40" t="n"/>
      <c r="P40" s="44">
        <f>IF(OR($C40="",$N40&lt;&gt;"Card"),0,ROUND(($J40+$K40)*IFERROR(INDEX(Shows!$G$4:$G$23,MATCH($B40,Shows!$A$4:$A$23,0)),0)+IFERROR(INDEX(Shows!$H$4:$H$23,MATCH($B40,Shows!$A$4:$A$23,0)),0),2))</f>
        <v/>
      </c>
      <c r="Q40" s="44">
        <f>IF($C40="","",$J40+$K40-$P40)</f>
        <v/>
      </c>
      <c r="R40" s="40" t="n"/>
      <c r="S40" s="40" t="n"/>
      <c r="T40" s="40" t="n"/>
    </row>
    <row r="41">
      <c r="A41" s="48" t="n"/>
      <c r="B41" s="34" t="n"/>
      <c r="C41" s="34" t="n"/>
      <c r="D41" s="15">
        <f>IF($C41="","",IFERROR(INDEX(Inventory!$B$4:$B$253,MATCH($C41,Inventory!$A$4:$A$253,0))&amp;" "&amp;INDEX(Inventory!$C$4:$C$253,MATCH($C41,Inventory!$A$4:$A$253,0)),"SKU not in Inventory"))</f>
        <v/>
      </c>
      <c r="E41" s="36" t="n"/>
      <c r="F41" s="35" t="n"/>
      <c r="G41" s="35" t="n"/>
      <c r="H41" s="49">
        <f>IF($C41="","",IFERROR(INDEX(Inventory!$H$4:$H$253,MATCH($C41,Inventory!$A$4:$A$253,0)),0))</f>
        <v/>
      </c>
      <c r="I41" s="34" t="n"/>
      <c r="J41" s="38">
        <f>IF($C41="","",MAX(0,$E41*$F41-$G41))</f>
        <v/>
      </c>
      <c r="K41" s="38">
        <f>IF(OR($C41="",$I41="No"),0,ROUND($J41*IFERROR(INDEX(Shows!$F$4:$F$23,MATCH($B41,Shows!$A$4:$A$23,0)),0),2))</f>
        <v/>
      </c>
      <c r="L41" s="38">
        <f>IF($C41="","",$E41*$H41)</f>
        <v/>
      </c>
      <c r="M41" s="38">
        <f>IF($C41="","",$J41-$L41-$P41)</f>
        <v/>
      </c>
      <c r="N41" s="34" t="n"/>
      <c r="O41" s="34" t="n"/>
      <c r="P41" s="38">
        <f>IF(OR($C41="",$N41&lt;&gt;"Card"),0,ROUND(($J41+$K41)*IFERROR(INDEX(Shows!$G$4:$G$23,MATCH($B41,Shows!$A$4:$A$23,0)),0)+IFERROR(INDEX(Shows!$H$4:$H$23,MATCH($B41,Shows!$A$4:$A$23,0)),0),2))</f>
        <v/>
      </c>
      <c r="Q41" s="38">
        <f>IF($C41="","",$J41+$K41-$P41)</f>
        <v/>
      </c>
      <c r="R41" s="34" t="n"/>
      <c r="S41" s="34" t="n"/>
      <c r="T41" s="34" t="n"/>
    </row>
    <row r="42">
      <c r="A42" s="46" t="n"/>
      <c r="B42" s="40" t="n"/>
      <c r="C42" s="40" t="n"/>
      <c r="D42" s="11">
        <f>IF($C42="","",IFERROR(INDEX(Inventory!$B$4:$B$253,MATCH($C42,Inventory!$A$4:$A$253,0))&amp;" "&amp;INDEX(Inventory!$C$4:$C$253,MATCH($C42,Inventory!$A$4:$A$253,0)),"SKU not in Inventory"))</f>
        <v/>
      </c>
      <c r="E42" s="42" t="n"/>
      <c r="F42" s="41" t="n"/>
      <c r="G42" s="41" t="n"/>
      <c r="H42" s="47">
        <f>IF($C42="","",IFERROR(INDEX(Inventory!$H$4:$H$253,MATCH($C42,Inventory!$A$4:$A$253,0)),0))</f>
        <v/>
      </c>
      <c r="I42" s="40" t="n"/>
      <c r="J42" s="44">
        <f>IF($C42="","",MAX(0,$E42*$F42-$G42))</f>
        <v/>
      </c>
      <c r="K42" s="44">
        <f>IF(OR($C42="",$I42="No"),0,ROUND($J42*IFERROR(INDEX(Shows!$F$4:$F$23,MATCH($B42,Shows!$A$4:$A$23,0)),0),2))</f>
        <v/>
      </c>
      <c r="L42" s="44">
        <f>IF($C42="","",$E42*$H42)</f>
        <v/>
      </c>
      <c r="M42" s="44">
        <f>IF($C42="","",$J42-$L42-$P42)</f>
        <v/>
      </c>
      <c r="N42" s="40" t="n"/>
      <c r="O42" s="40" t="n"/>
      <c r="P42" s="44">
        <f>IF(OR($C42="",$N42&lt;&gt;"Card"),0,ROUND(($J42+$K42)*IFERROR(INDEX(Shows!$G$4:$G$23,MATCH($B42,Shows!$A$4:$A$23,0)),0)+IFERROR(INDEX(Shows!$H$4:$H$23,MATCH($B42,Shows!$A$4:$A$23,0)),0),2))</f>
        <v/>
      </c>
      <c r="Q42" s="44">
        <f>IF($C42="","",$J42+$K42-$P42)</f>
        <v/>
      </c>
      <c r="R42" s="40" t="n"/>
      <c r="S42" s="40" t="n"/>
      <c r="T42" s="40" t="n"/>
    </row>
    <row r="43">
      <c r="A43" s="48" t="n"/>
      <c r="B43" s="34" t="n"/>
      <c r="C43" s="34" t="n"/>
      <c r="D43" s="15">
        <f>IF($C43="","",IFERROR(INDEX(Inventory!$B$4:$B$253,MATCH($C43,Inventory!$A$4:$A$253,0))&amp;" "&amp;INDEX(Inventory!$C$4:$C$253,MATCH($C43,Inventory!$A$4:$A$253,0)),"SKU not in Inventory"))</f>
        <v/>
      </c>
      <c r="E43" s="36" t="n"/>
      <c r="F43" s="35" t="n"/>
      <c r="G43" s="35" t="n"/>
      <c r="H43" s="49">
        <f>IF($C43="","",IFERROR(INDEX(Inventory!$H$4:$H$253,MATCH($C43,Inventory!$A$4:$A$253,0)),0))</f>
        <v/>
      </c>
      <c r="I43" s="34" t="n"/>
      <c r="J43" s="38">
        <f>IF($C43="","",MAX(0,$E43*$F43-$G43))</f>
        <v/>
      </c>
      <c r="K43" s="38">
        <f>IF(OR($C43="",$I43="No"),0,ROUND($J43*IFERROR(INDEX(Shows!$F$4:$F$23,MATCH($B43,Shows!$A$4:$A$23,0)),0),2))</f>
        <v/>
      </c>
      <c r="L43" s="38">
        <f>IF($C43="","",$E43*$H43)</f>
        <v/>
      </c>
      <c r="M43" s="38">
        <f>IF($C43="","",$J43-$L43-$P43)</f>
        <v/>
      </c>
      <c r="N43" s="34" t="n"/>
      <c r="O43" s="34" t="n"/>
      <c r="P43" s="38">
        <f>IF(OR($C43="",$N43&lt;&gt;"Card"),0,ROUND(($J43+$K43)*IFERROR(INDEX(Shows!$G$4:$G$23,MATCH($B43,Shows!$A$4:$A$23,0)),0)+IFERROR(INDEX(Shows!$H$4:$H$23,MATCH($B43,Shows!$A$4:$A$23,0)),0),2))</f>
        <v/>
      </c>
      <c r="Q43" s="38">
        <f>IF($C43="","",$J43+$K43-$P43)</f>
        <v/>
      </c>
      <c r="R43" s="34" t="n"/>
      <c r="S43" s="34" t="n"/>
      <c r="T43" s="34" t="n"/>
    </row>
    <row r="44">
      <c r="A44" s="46" t="n"/>
      <c r="B44" s="40" t="n"/>
      <c r="C44" s="40" t="n"/>
      <c r="D44" s="11">
        <f>IF($C44="","",IFERROR(INDEX(Inventory!$B$4:$B$253,MATCH($C44,Inventory!$A$4:$A$253,0))&amp;" "&amp;INDEX(Inventory!$C$4:$C$253,MATCH($C44,Inventory!$A$4:$A$253,0)),"SKU not in Inventory"))</f>
        <v/>
      </c>
      <c r="E44" s="42" t="n"/>
      <c r="F44" s="41" t="n"/>
      <c r="G44" s="41" t="n"/>
      <c r="H44" s="47">
        <f>IF($C44="","",IFERROR(INDEX(Inventory!$H$4:$H$253,MATCH($C44,Inventory!$A$4:$A$253,0)),0))</f>
        <v/>
      </c>
      <c r="I44" s="40" t="n"/>
      <c r="J44" s="44">
        <f>IF($C44="","",MAX(0,$E44*$F44-$G44))</f>
        <v/>
      </c>
      <c r="K44" s="44">
        <f>IF(OR($C44="",$I44="No"),0,ROUND($J44*IFERROR(INDEX(Shows!$F$4:$F$23,MATCH($B44,Shows!$A$4:$A$23,0)),0),2))</f>
        <v/>
      </c>
      <c r="L44" s="44">
        <f>IF($C44="","",$E44*$H44)</f>
        <v/>
      </c>
      <c r="M44" s="44">
        <f>IF($C44="","",$J44-$L44-$P44)</f>
        <v/>
      </c>
      <c r="N44" s="40" t="n"/>
      <c r="O44" s="40" t="n"/>
      <c r="P44" s="44">
        <f>IF(OR($C44="",$N44&lt;&gt;"Card"),0,ROUND(($J44+$K44)*IFERROR(INDEX(Shows!$G$4:$G$23,MATCH($B44,Shows!$A$4:$A$23,0)),0)+IFERROR(INDEX(Shows!$H$4:$H$23,MATCH($B44,Shows!$A$4:$A$23,0)),0),2))</f>
        <v/>
      </c>
      <c r="Q44" s="44">
        <f>IF($C44="","",$J44+$K44-$P44)</f>
        <v/>
      </c>
      <c r="R44" s="40" t="n"/>
      <c r="S44" s="40" t="n"/>
      <c r="T44" s="40" t="n"/>
    </row>
    <row r="45">
      <c r="A45" s="48" t="n"/>
      <c r="B45" s="34" t="n"/>
      <c r="C45" s="34" t="n"/>
      <c r="D45" s="15">
        <f>IF($C45="","",IFERROR(INDEX(Inventory!$B$4:$B$253,MATCH($C45,Inventory!$A$4:$A$253,0))&amp;" "&amp;INDEX(Inventory!$C$4:$C$253,MATCH($C45,Inventory!$A$4:$A$253,0)),"SKU not in Inventory"))</f>
        <v/>
      </c>
      <c r="E45" s="36" t="n"/>
      <c r="F45" s="35" t="n"/>
      <c r="G45" s="35" t="n"/>
      <c r="H45" s="49">
        <f>IF($C45="","",IFERROR(INDEX(Inventory!$H$4:$H$253,MATCH($C45,Inventory!$A$4:$A$253,0)),0))</f>
        <v/>
      </c>
      <c r="I45" s="34" t="n"/>
      <c r="J45" s="38">
        <f>IF($C45="","",MAX(0,$E45*$F45-$G45))</f>
        <v/>
      </c>
      <c r="K45" s="38">
        <f>IF(OR($C45="",$I45="No"),0,ROUND($J45*IFERROR(INDEX(Shows!$F$4:$F$23,MATCH($B45,Shows!$A$4:$A$23,0)),0),2))</f>
        <v/>
      </c>
      <c r="L45" s="38">
        <f>IF($C45="","",$E45*$H45)</f>
        <v/>
      </c>
      <c r="M45" s="38">
        <f>IF($C45="","",$J45-$L45-$P45)</f>
        <v/>
      </c>
      <c r="N45" s="34" t="n"/>
      <c r="O45" s="34" t="n"/>
      <c r="P45" s="38">
        <f>IF(OR($C45="",$N45&lt;&gt;"Card"),0,ROUND(($J45+$K45)*IFERROR(INDEX(Shows!$G$4:$G$23,MATCH($B45,Shows!$A$4:$A$23,0)),0)+IFERROR(INDEX(Shows!$H$4:$H$23,MATCH($B45,Shows!$A$4:$A$23,0)),0),2))</f>
        <v/>
      </c>
      <c r="Q45" s="38">
        <f>IF($C45="","",$J45+$K45-$P45)</f>
        <v/>
      </c>
      <c r="R45" s="34" t="n"/>
      <c r="S45" s="34" t="n"/>
      <c r="T45" s="34" t="n"/>
    </row>
    <row r="46">
      <c r="A46" s="46" t="n"/>
      <c r="B46" s="40" t="n"/>
      <c r="C46" s="40" t="n"/>
      <c r="D46" s="11">
        <f>IF($C46="","",IFERROR(INDEX(Inventory!$B$4:$B$253,MATCH($C46,Inventory!$A$4:$A$253,0))&amp;" "&amp;INDEX(Inventory!$C$4:$C$253,MATCH($C46,Inventory!$A$4:$A$253,0)),"SKU not in Inventory"))</f>
        <v/>
      </c>
      <c r="E46" s="42" t="n"/>
      <c r="F46" s="41" t="n"/>
      <c r="G46" s="41" t="n"/>
      <c r="H46" s="47">
        <f>IF($C46="","",IFERROR(INDEX(Inventory!$H$4:$H$253,MATCH($C46,Inventory!$A$4:$A$253,0)),0))</f>
        <v/>
      </c>
      <c r="I46" s="40" t="n"/>
      <c r="J46" s="44">
        <f>IF($C46="","",MAX(0,$E46*$F46-$G46))</f>
        <v/>
      </c>
      <c r="K46" s="44">
        <f>IF(OR($C46="",$I46="No"),0,ROUND($J46*IFERROR(INDEX(Shows!$F$4:$F$23,MATCH($B46,Shows!$A$4:$A$23,0)),0),2))</f>
        <v/>
      </c>
      <c r="L46" s="44">
        <f>IF($C46="","",$E46*$H46)</f>
        <v/>
      </c>
      <c r="M46" s="44">
        <f>IF($C46="","",$J46-$L46-$P46)</f>
        <v/>
      </c>
      <c r="N46" s="40" t="n"/>
      <c r="O46" s="40" t="n"/>
      <c r="P46" s="44">
        <f>IF(OR($C46="",$N46&lt;&gt;"Card"),0,ROUND(($J46+$K46)*IFERROR(INDEX(Shows!$G$4:$G$23,MATCH($B46,Shows!$A$4:$A$23,0)),0)+IFERROR(INDEX(Shows!$H$4:$H$23,MATCH($B46,Shows!$A$4:$A$23,0)),0),2))</f>
        <v/>
      </c>
      <c r="Q46" s="44">
        <f>IF($C46="","",$J46+$K46-$P46)</f>
        <v/>
      </c>
      <c r="R46" s="40" t="n"/>
      <c r="S46" s="40" t="n"/>
      <c r="T46" s="40" t="n"/>
    </row>
    <row r="47">
      <c r="A47" s="48" t="n"/>
      <c r="B47" s="34" t="n"/>
      <c r="C47" s="34" t="n"/>
      <c r="D47" s="15">
        <f>IF($C47="","",IFERROR(INDEX(Inventory!$B$4:$B$253,MATCH($C47,Inventory!$A$4:$A$253,0))&amp;" "&amp;INDEX(Inventory!$C$4:$C$253,MATCH($C47,Inventory!$A$4:$A$253,0)),"SKU not in Inventory"))</f>
        <v/>
      </c>
      <c r="E47" s="36" t="n"/>
      <c r="F47" s="35" t="n"/>
      <c r="G47" s="35" t="n"/>
      <c r="H47" s="49">
        <f>IF($C47="","",IFERROR(INDEX(Inventory!$H$4:$H$253,MATCH($C47,Inventory!$A$4:$A$253,0)),0))</f>
        <v/>
      </c>
      <c r="I47" s="34" t="n"/>
      <c r="J47" s="38">
        <f>IF($C47="","",MAX(0,$E47*$F47-$G47))</f>
        <v/>
      </c>
      <c r="K47" s="38">
        <f>IF(OR($C47="",$I47="No"),0,ROUND($J47*IFERROR(INDEX(Shows!$F$4:$F$23,MATCH($B47,Shows!$A$4:$A$23,0)),0),2))</f>
        <v/>
      </c>
      <c r="L47" s="38">
        <f>IF($C47="","",$E47*$H47)</f>
        <v/>
      </c>
      <c r="M47" s="38">
        <f>IF($C47="","",$J47-$L47-$P47)</f>
        <v/>
      </c>
      <c r="N47" s="34" t="n"/>
      <c r="O47" s="34" t="n"/>
      <c r="P47" s="38">
        <f>IF(OR($C47="",$N47&lt;&gt;"Card"),0,ROUND(($J47+$K47)*IFERROR(INDEX(Shows!$G$4:$G$23,MATCH($B47,Shows!$A$4:$A$23,0)),0)+IFERROR(INDEX(Shows!$H$4:$H$23,MATCH($B47,Shows!$A$4:$A$23,0)),0),2))</f>
        <v/>
      </c>
      <c r="Q47" s="38">
        <f>IF($C47="","",$J47+$K47-$P47)</f>
        <v/>
      </c>
      <c r="R47" s="34" t="n"/>
      <c r="S47" s="34" t="n"/>
      <c r="T47" s="34" t="n"/>
    </row>
    <row r="48">
      <c r="A48" s="46" t="n"/>
      <c r="B48" s="40" t="n"/>
      <c r="C48" s="40" t="n"/>
      <c r="D48" s="11">
        <f>IF($C48="","",IFERROR(INDEX(Inventory!$B$4:$B$253,MATCH($C48,Inventory!$A$4:$A$253,0))&amp;" "&amp;INDEX(Inventory!$C$4:$C$253,MATCH($C48,Inventory!$A$4:$A$253,0)),"SKU not in Inventory"))</f>
        <v/>
      </c>
      <c r="E48" s="42" t="n"/>
      <c r="F48" s="41" t="n"/>
      <c r="G48" s="41" t="n"/>
      <c r="H48" s="47">
        <f>IF($C48="","",IFERROR(INDEX(Inventory!$H$4:$H$253,MATCH($C48,Inventory!$A$4:$A$253,0)),0))</f>
        <v/>
      </c>
      <c r="I48" s="40" t="n"/>
      <c r="J48" s="44">
        <f>IF($C48="","",MAX(0,$E48*$F48-$G48))</f>
        <v/>
      </c>
      <c r="K48" s="44">
        <f>IF(OR($C48="",$I48="No"),0,ROUND($J48*IFERROR(INDEX(Shows!$F$4:$F$23,MATCH($B48,Shows!$A$4:$A$23,0)),0),2))</f>
        <v/>
      </c>
      <c r="L48" s="44">
        <f>IF($C48="","",$E48*$H48)</f>
        <v/>
      </c>
      <c r="M48" s="44">
        <f>IF($C48="","",$J48-$L48-$P48)</f>
        <v/>
      </c>
      <c r="N48" s="40" t="n"/>
      <c r="O48" s="40" t="n"/>
      <c r="P48" s="44">
        <f>IF(OR($C48="",$N48&lt;&gt;"Card"),0,ROUND(($J48+$K48)*IFERROR(INDEX(Shows!$G$4:$G$23,MATCH($B48,Shows!$A$4:$A$23,0)),0)+IFERROR(INDEX(Shows!$H$4:$H$23,MATCH($B48,Shows!$A$4:$A$23,0)),0),2))</f>
        <v/>
      </c>
      <c r="Q48" s="44">
        <f>IF($C48="","",$J48+$K48-$P48)</f>
        <v/>
      </c>
      <c r="R48" s="40" t="n"/>
      <c r="S48" s="40" t="n"/>
      <c r="T48" s="40" t="n"/>
    </row>
    <row r="49">
      <c r="A49" s="48" t="n"/>
      <c r="B49" s="34" t="n"/>
      <c r="C49" s="34" t="n"/>
      <c r="D49" s="15">
        <f>IF($C49="","",IFERROR(INDEX(Inventory!$B$4:$B$253,MATCH($C49,Inventory!$A$4:$A$253,0))&amp;" "&amp;INDEX(Inventory!$C$4:$C$253,MATCH($C49,Inventory!$A$4:$A$253,0)),"SKU not in Inventory"))</f>
        <v/>
      </c>
      <c r="E49" s="36" t="n"/>
      <c r="F49" s="35" t="n"/>
      <c r="G49" s="35" t="n"/>
      <c r="H49" s="49">
        <f>IF($C49="","",IFERROR(INDEX(Inventory!$H$4:$H$253,MATCH($C49,Inventory!$A$4:$A$253,0)),0))</f>
        <v/>
      </c>
      <c r="I49" s="34" t="n"/>
      <c r="J49" s="38">
        <f>IF($C49="","",MAX(0,$E49*$F49-$G49))</f>
        <v/>
      </c>
      <c r="K49" s="38">
        <f>IF(OR($C49="",$I49="No"),0,ROUND($J49*IFERROR(INDEX(Shows!$F$4:$F$23,MATCH($B49,Shows!$A$4:$A$23,0)),0),2))</f>
        <v/>
      </c>
      <c r="L49" s="38">
        <f>IF($C49="","",$E49*$H49)</f>
        <v/>
      </c>
      <c r="M49" s="38">
        <f>IF($C49="","",$J49-$L49-$P49)</f>
        <v/>
      </c>
      <c r="N49" s="34" t="n"/>
      <c r="O49" s="34" t="n"/>
      <c r="P49" s="38">
        <f>IF(OR($C49="",$N49&lt;&gt;"Card"),0,ROUND(($J49+$K49)*IFERROR(INDEX(Shows!$G$4:$G$23,MATCH($B49,Shows!$A$4:$A$23,0)),0)+IFERROR(INDEX(Shows!$H$4:$H$23,MATCH($B49,Shows!$A$4:$A$23,0)),0),2))</f>
        <v/>
      </c>
      <c r="Q49" s="38">
        <f>IF($C49="","",$J49+$K49-$P49)</f>
        <v/>
      </c>
      <c r="R49" s="34" t="n"/>
      <c r="S49" s="34" t="n"/>
      <c r="T49" s="34" t="n"/>
    </row>
    <row r="50">
      <c r="A50" s="46" t="n"/>
      <c r="B50" s="40" t="n"/>
      <c r="C50" s="40" t="n"/>
      <c r="D50" s="11">
        <f>IF($C50="","",IFERROR(INDEX(Inventory!$B$4:$B$253,MATCH($C50,Inventory!$A$4:$A$253,0))&amp;" "&amp;INDEX(Inventory!$C$4:$C$253,MATCH($C50,Inventory!$A$4:$A$253,0)),"SKU not in Inventory"))</f>
        <v/>
      </c>
      <c r="E50" s="42" t="n"/>
      <c r="F50" s="41" t="n"/>
      <c r="G50" s="41" t="n"/>
      <c r="H50" s="47">
        <f>IF($C50="","",IFERROR(INDEX(Inventory!$H$4:$H$253,MATCH($C50,Inventory!$A$4:$A$253,0)),0))</f>
        <v/>
      </c>
      <c r="I50" s="40" t="n"/>
      <c r="J50" s="44">
        <f>IF($C50="","",MAX(0,$E50*$F50-$G50))</f>
        <v/>
      </c>
      <c r="K50" s="44">
        <f>IF(OR($C50="",$I50="No"),0,ROUND($J50*IFERROR(INDEX(Shows!$F$4:$F$23,MATCH($B50,Shows!$A$4:$A$23,0)),0),2))</f>
        <v/>
      </c>
      <c r="L50" s="44">
        <f>IF($C50="","",$E50*$H50)</f>
        <v/>
      </c>
      <c r="M50" s="44">
        <f>IF($C50="","",$J50-$L50-$P50)</f>
        <v/>
      </c>
      <c r="N50" s="40" t="n"/>
      <c r="O50" s="40" t="n"/>
      <c r="P50" s="44">
        <f>IF(OR($C50="",$N50&lt;&gt;"Card"),0,ROUND(($J50+$K50)*IFERROR(INDEX(Shows!$G$4:$G$23,MATCH($B50,Shows!$A$4:$A$23,0)),0)+IFERROR(INDEX(Shows!$H$4:$H$23,MATCH($B50,Shows!$A$4:$A$23,0)),0),2))</f>
        <v/>
      </c>
      <c r="Q50" s="44">
        <f>IF($C50="","",$J50+$K50-$P50)</f>
        <v/>
      </c>
      <c r="R50" s="40" t="n"/>
      <c r="S50" s="40" t="n"/>
      <c r="T50" s="40" t="n"/>
    </row>
    <row r="51">
      <c r="A51" s="48" t="n"/>
      <c r="B51" s="34" t="n"/>
      <c r="C51" s="34" t="n"/>
      <c r="D51" s="15">
        <f>IF($C51="","",IFERROR(INDEX(Inventory!$B$4:$B$253,MATCH($C51,Inventory!$A$4:$A$253,0))&amp;" "&amp;INDEX(Inventory!$C$4:$C$253,MATCH($C51,Inventory!$A$4:$A$253,0)),"SKU not in Inventory"))</f>
        <v/>
      </c>
      <c r="E51" s="36" t="n"/>
      <c r="F51" s="35" t="n"/>
      <c r="G51" s="35" t="n"/>
      <c r="H51" s="49">
        <f>IF($C51="","",IFERROR(INDEX(Inventory!$H$4:$H$253,MATCH($C51,Inventory!$A$4:$A$253,0)),0))</f>
        <v/>
      </c>
      <c r="I51" s="34" t="n"/>
      <c r="J51" s="38">
        <f>IF($C51="","",MAX(0,$E51*$F51-$G51))</f>
        <v/>
      </c>
      <c r="K51" s="38">
        <f>IF(OR($C51="",$I51="No"),0,ROUND($J51*IFERROR(INDEX(Shows!$F$4:$F$23,MATCH($B51,Shows!$A$4:$A$23,0)),0),2))</f>
        <v/>
      </c>
      <c r="L51" s="38">
        <f>IF($C51="","",$E51*$H51)</f>
        <v/>
      </c>
      <c r="M51" s="38">
        <f>IF($C51="","",$J51-$L51-$P51)</f>
        <v/>
      </c>
      <c r="N51" s="34" t="n"/>
      <c r="O51" s="34" t="n"/>
      <c r="P51" s="38">
        <f>IF(OR($C51="",$N51&lt;&gt;"Card"),0,ROUND(($J51+$K51)*IFERROR(INDEX(Shows!$G$4:$G$23,MATCH($B51,Shows!$A$4:$A$23,0)),0)+IFERROR(INDEX(Shows!$H$4:$H$23,MATCH($B51,Shows!$A$4:$A$23,0)),0),2))</f>
        <v/>
      </c>
      <c r="Q51" s="38">
        <f>IF($C51="","",$J51+$K51-$P51)</f>
        <v/>
      </c>
      <c r="R51" s="34" t="n"/>
      <c r="S51" s="34" t="n"/>
      <c r="T51" s="34" t="n"/>
    </row>
    <row r="52">
      <c r="A52" s="46" t="n"/>
      <c r="B52" s="40" t="n"/>
      <c r="C52" s="40" t="n"/>
      <c r="D52" s="11">
        <f>IF($C52="","",IFERROR(INDEX(Inventory!$B$4:$B$253,MATCH($C52,Inventory!$A$4:$A$253,0))&amp;" "&amp;INDEX(Inventory!$C$4:$C$253,MATCH($C52,Inventory!$A$4:$A$253,0)),"SKU not in Inventory"))</f>
        <v/>
      </c>
      <c r="E52" s="42" t="n"/>
      <c r="F52" s="41" t="n"/>
      <c r="G52" s="41" t="n"/>
      <c r="H52" s="47">
        <f>IF($C52="","",IFERROR(INDEX(Inventory!$H$4:$H$253,MATCH($C52,Inventory!$A$4:$A$253,0)),0))</f>
        <v/>
      </c>
      <c r="I52" s="40" t="n"/>
      <c r="J52" s="44">
        <f>IF($C52="","",MAX(0,$E52*$F52-$G52))</f>
        <v/>
      </c>
      <c r="K52" s="44">
        <f>IF(OR($C52="",$I52="No"),0,ROUND($J52*IFERROR(INDEX(Shows!$F$4:$F$23,MATCH($B52,Shows!$A$4:$A$23,0)),0),2))</f>
        <v/>
      </c>
      <c r="L52" s="44">
        <f>IF($C52="","",$E52*$H52)</f>
        <v/>
      </c>
      <c r="M52" s="44">
        <f>IF($C52="","",$J52-$L52-$P52)</f>
        <v/>
      </c>
      <c r="N52" s="40" t="n"/>
      <c r="O52" s="40" t="n"/>
      <c r="P52" s="44">
        <f>IF(OR($C52="",$N52&lt;&gt;"Card"),0,ROUND(($J52+$K52)*IFERROR(INDEX(Shows!$G$4:$G$23,MATCH($B52,Shows!$A$4:$A$23,0)),0)+IFERROR(INDEX(Shows!$H$4:$H$23,MATCH($B52,Shows!$A$4:$A$23,0)),0),2))</f>
        <v/>
      </c>
      <c r="Q52" s="44">
        <f>IF($C52="","",$J52+$K52-$P52)</f>
        <v/>
      </c>
      <c r="R52" s="40" t="n"/>
      <c r="S52" s="40" t="n"/>
      <c r="T52" s="40" t="n"/>
    </row>
    <row r="53">
      <c r="A53" s="48" t="n"/>
      <c r="B53" s="34" t="n"/>
      <c r="C53" s="34" t="n"/>
      <c r="D53" s="15">
        <f>IF($C53="","",IFERROR(INDEX(Inventory!$B$4:$B$253,MATCH($C53,Inventory!$A$4:$A$253,0))&amp;" "&amp;INDEX(Inventory!$C$4:$C$253,MATCH($C53,Inventory!$A$4:$A$253,0)),"SKU not in Inventory"))</f>
        <v/>
      </c>
      <c r="E53" s="36" t="n"/>
      <c r="F53" s="35" t="n"/>
      <c r="G53" s="35" t="n"/>
      <c r="H53" s="49">
        <f>IF($C53="","",IFERROR(INDEX(Inventory!$H$4:$H$253,MATCH($C53,Inventory!$A$4:$A$253,0)),0))</f>
        <v/>
      </c>
      <c r="I53" s="34" t="n"/>
      <c r="J53" s="38">
        <f>IF($C53="","",MAX(0,$E53*$F53-$G53))</f>
        <v/>
      </c>
      <c r="K53" s="38">
        <f>IF(OR($C53="",$I53="No"),0,ROUND($J53*IFERROR(INDEX(Shows!$F$4:$F$23,MATCH($B53,Shows!$A$4:$A$23,0)),0),2))</f>
        <v/>
      </c>
      <c r="L53" s="38">
        <f>IF($C53="","",$E53*$H53)</f>
        <v/>
      </c>
      <c r="M53" s="38">
        <f>IF($C53="","",$J53-$L53-$P53)</f>
        <v/>
      </c>
      <c r="N53" s="34" t="n"/>
      <c r="O53" s="34" t="n"/>
      <c r="P53" s="38">
        <f>IF(OR($C53="",$N53&lt;&gt;"Card"),0,ROUND(($J53+$K53)*IFERROR(INDEX(Shows!$G$4:$G$23,MATCH($B53,Shows!$A$4:$A$23,0)),0)+IFERROR(INDEX(Shows!$H$4:$H$23,MATCH($B53,Shows!$A$4:$A$23,0)),0),2))</f>
        <v/>
      </c>
      <c r="Q53" s="38">
        <f>IF($C53="","",$J53+$K53-$P53)</f>
        <v/>
      </c>
      <c r="R53" s="34" t="n"/>
      <c r="S53" s="34" t="n"/>
      <c r="T53" s="34" t="n"/>
    </row>
    <row r="54">
      <c r="A54" s="46" t="n"/>
      <c r="B54" s="40" t="n"/>
      <c r="C54" s="40" t="n"/>
      <c r="D54" s="11">
        <f>IF($C54="","",IFERROR(INDEX(Inventory!$B$4:$B$253,MATCH($C54,Inventory!$A$4:$A$253,0))&amp;" "&amp;INDEX(Inventory!$C$4:$C$253,MATCH($C54,Inventory!$A$4:$A$253,0)),"SKU not in Inventory"))</f>
        <v/>
      </c>
      <c r="E54" s="42" t="n"/>
      <c r="F54" s="41" t="n"/>
      <c r="G54" s="41" t="n"/>
      <c r="H54" s="47">
        <f>IF($C54="","",IFERROR(INDEX(Inventory!$H$4:$H$253,MATCH($C54,Inventory!$A$4:$A$253,0)),0))</f>
        <v/>
      </c>
      <c r="I54" s="40" t="n"/>
      <c r="J54" s="44">
        <f>IF($C54="","",MAX(0,$E54*$F54-$G54))</f>
        <v/>
      </c>
      <c r="K54" s="44">
        <f>IF(OR($C54="",$I54="No"),0,ROUND($J54*IFERROR(INDEX(Shows!$F$4:$F$23,MATCH($B54,Shows!$A$4:$A$23,0)),0),2))</f>
        <v/>
      </c>
      <c r="L54" s="44">
        <f>IF($C54="","",$E54*$H54)</f>
        <v/>
      </c>
      <c r="M54" s="44">
        <f>IF($C54="","",$J54-$L54-$P54)</f>
        <v/>
      </c>
      <c r="N54" s="40" t="n"/>
      <c r="O54" s="40" t="n"/>
      <c r="P54" s="44">
        <f>IF(OR($C54="",$N54&lt;&gt;"Card"),0,ROUND(($J54+$K54)*IFERROR(INDEX(Shows!$G$4:$G$23,MATCH($B54,Shows!$A$4:$A$23,0)),0)+IFERROR(INDEX(Shows!$H$4:$H$23,MATCH($B54,Shows!$A$4:$A$23,0)),0),2))</f>
        <v/>
      </c>
      <c r="Q54" s="44">
        <f>IF($C54="","",$J54+$K54-$P54)</f>
        <v/>
      </c>
      <c r="R54" s="40" t="n"/>
      <c r="S54" s="40" t="n"/>
      <c r="T54" s="40" t="n"/>
    </row>
    <row r="55">
      <c r="A55" s="48" t="n"/>
      <c r="B55" s="34" t="n"/>
      <c r="C55" s="34" t="n"/>
      <c r="D55" s="15">
        <f>IF($C55="","",IFERROR(INDEX(Inventory!$B$4:$B$253,MATCH($C55,Inventory!$A$4:$A$253,0))&amp;" "&amp;INDEX(Inventory!$C$4:$C$253,MATCH($C55,Inventory!$A$4:$A$253,0)),"SKU not in Inventory"))</f>
        <v/>
      </c>
      <c r="E55" s="36" t="n"/>
      <c r="F55" s="35" t="n"/>
      <c r="G55" s="35" t="n"/>
      <c r="H55" s="49">
        <f>IF($C55="","",IFERROR(INDEX(Inventory!$H$4:$H$253,MATCH($C55,Inventory!$A$4:$A$253,0)),0))</f>
        <v/>
      </c>
      <c r="I55" s="34" t="n"/>
      <c r="J55" s="38">
        <f>IF($C55="","",MAX(0,$E55*$F55-$G55))</f>
        <v/>
      </c>
      <c r="K55" s="38">
        <f>IF(OR($C55="",$I55="No"),0,ROUND($J55*IFERROR(INDEX(Shows!$F$4:$F$23,MATCH($B55,Shows!$A$4:$A$23,0)),0),2))</f>
        <v/>
      </c>
      <c r="L55" s="38">
        <f>IF($C55="","",$E55*$H55)</f>
        <v/>
      </c>
      <c r="M55" s="38">
        <f>IF($C55="","",$J55-$L55-$P55)</f>
        <v/>
      </c>
      <c r="N55" s="34" t="n"/>
      <c r="O55" s="34" t="n"/>
      <c r="P55" s="38">
        <f>IF(OR($C55="",$N55&lt;&gt;"Card"),0,ROUND(($J55+$K55)*IFERROR(INDEX(Shows!$G$4:$G$23,MATCH($B55,Shows!$A$4:$A$23,0)),0)+IFERROR(INDEX(Shows!$H$4:$H$23,MATCH($B55,Shows!$A$4:$A$23,0)),0),2))</f>
        <v/>
      </c>
      <c r="Q55" s="38">
        <f>IF($C55="","",$J55+$K55-$P55)</f>
        <v/>
      </c>
      <c r="R55" s="34" t="n"/>
      <c r="S55" s="34" t="n"/>
      <c r="T55" s="34" t="n"/>
    </row>
    <row r="56">
      <c r="A56" s="46" t="n"/>
      <c r="B56" s="40" t="n"/>
      <c r="C56" s="40" t="n"/>
      <c r="D56" s="11">
        <f>IF($C56="","",IFERROR(INDEX(Inventory!$B$4:$B$253,MATCH($C56,Inventory!$A$4:$A$253,0))&amp;" "&amp;INDEX(Inventory!$C$4:$C$253,MATCH($C56,Inventory!$A$4:$A$253,0)),"SKU not in Inventory"))</f>
        <v/>
      </c>
      <c r="E56" s="42" t="n"/>
      <c r="F56" s="41" t="n"/>
      <c r="G56" s="41" t="n"/>
      <c r="H56" s="47">
        <f>IF($C56="","",IFERROR(INDEX(Inventory!$H$4:$H$253,MATCH($C56,Inventory!$A$4:$A$253,0)),0))</f>
        <v/>
      </c>
      <c r="I56" s="40" t="n"/>
      <c r="J56" s="44">
        <f>IF($C56="","",MAX(0,$E56*$F56-$G56))</f>
        <v/>
      </c>
      <c r="K56" s="44">
        <f>IF(OR($C56="",$I56="No"),0,ROUND($J56*IFERROR(INDEX(Shows!$F$4:$F$23,MATCH($B56,Shows!$A$4:$A$23,0)),0),2))</f>
        <v/>
      </c>
      <c r="L56" s="44">
        <f>IF($C56="","",$E56*$H56)</f>
        <v/>
      </c>
      <c r="M56" s="44">
        <f>IF($C56="","",$J56-$L56-$P56)</f>
        <v/>
      </c>
      <c r="N56" s="40" t="n"/>
      <c r="O56" s="40" t="n"/>
      <c r="P56" s="44">
        <f>IF(OR($C56="",$N56&lt;&gt;"Card"),0,ROUND(($J56+$K56)*IFERROR(INDEX(Shows!$G$4:$G$23,MATCH($B56,Shows!$A$4:$A$23,0)),0)+IFERROR(INDEX(Shows!$H$4:$H$23,MATCH($B56,Shows!$A$4:$A$23,0)),0),2))</f>
        <v/>
      </c>
      <c r="Q56" s="44">
        <f>IF($C56="","",$J56+$K56-$P56)</f>
        <v/>
      </c>
      <c r="R56" s="40" t="n"/>
      <c r="S56" s="40" t="n"/>
      <c r="T56" s="40" t="n"/>
    </row>
    <row r="57">
      <c r="A57" s="48" t="n"/>
      <c r="B57" s="34" t="n"/>
      <c r="C57" s="34" t="n"/>
      <c r="D57" s="15">
        <f>IF($C57="","",IFERROR(INDEX(Inventory!$B$4:$B$253,MATCH($C57,Inventory!$A$4:$A$253,0))&amp;" "&amp;INDEX(Inventory!$C$4:$C$253,MATCH($C57,Inventory!$A$4:$A$253,0)),"SKU not in Inventory"))</f>
        <v/>
      </c>
      <c r="E57" s="36" t="n"/>
      <c r="F57" s="35" t="n"/>
      <c r="G57" s="35" t="n"/>
      <c r="H57" s="49">
        <f>IF($C57="","",IFERROR(INDEX(Inventory!$H$4:$H$253,MATCH($C57,Inventory!$A$4:$A$253,0)),0))</f>
        <v/>
      </c>
      <c r="I57" s="34" t="n"/>
      <c r="J57" s="38">
        <f>IF($C57="","",MAX(0,$E57*$F57-$G57))</f>
        <v/>
      </c>
      <c r="K57" s="38">
        <f>IF(OR($C57="",$I57="No"),0,ROUND($J57*IFERROR(INDEX(Shows!$F$4:$F$23,MATCH($B57,Shows!$A$4:$A$23,0)),0),2))</f>
        <v/>
      </c>
      <c r="L57" s="38">
        <f>IF($C57="","",$E57*$H57)</f>
        <v/>
      </c>
      <c r="M57" s="38">
        <f>IF($C57="","",$J57-$L57-$P57)</f>
        <v/>
      </c>
      <c r="N57" s="34" t="n"/>
      <c r="O57" s="34" t="n"/>
      <c r="P57" s="38">
        <f>IF(OR($C57="",$N57&lt;&gt;"Card"),0,ROUND(($J57+$K57)*IFERROR(INDEX(Shows!$G$4:$G$23,MATCH($B57,Shows!$A$4:$A$23,0)),0)+IFERROR(INDEX(Shows!$H$4:$H$23,MATCH($B57,Shows!$A$4:$A$23,0)),0),2))</f>
        <v/>
      </c>
      <c r="Q57" s="38">
        <f>IF($C57="","",$J57+$K57-$P57)</f>
        <v/>
      </c>
      <c r="R57" s="34" t="n"/>
      <c r="S57" s="34" t="n"/>
      <c r="T57" s="34" t="n"/>
    </row>
    <row r="58">
      <c r="A58" s="46" t="n"/>
      <c r="B58" s="40" t="n"/>
      <c r="C58" s="40" t="n"/>
      <c r="D58" s="11">
        <f>IF($C58="","",IFERROR(INDEX(Inventory!$B$4:$B$253,MATCH($C58,Inventory!$A$4:$A$253,0))&amp;" "&amp;INDEX(Inventory!$C$4:$C$253,MATCH($C58,Inventory!$A$4:$A$253,0)),"SKU not in Inventory"))</f>
        <v/>
      </c>
      <c r="E58" s="42" t="n"/>
      <c r="F58" s="41" t="n"/>
      <c r="G58" s="41" t="n"/>
      <c r="H58" s="47">
        <f>IF($C58="","",IFERROR(INDEX(Inventory!$H$4:$H$253,MATCH($C58,Inventory!$A$4:$A$253,0)),0))</f>
        <v/>
      </c>
      <c r="I58" s="40" t="n"/>
      <c r="J58" s="44">
        <f>IF($C58="","",MAX(0,$E58*$F58-$G58))</f>
        <v/>
      </c>
      <c r="K58" s="44">
        <f>IF(OR($C58="",$I58="No"),0,ROUND($J58*IFERROR(INDEX(Shows!$F$4:$F$23,MATCH($B58,Shows!$A$4:$A$23,0)),0),2))</f>
        <v/>
      </c>
      <c r="L58" s="44">
        <f>IF($C58="","",$E58*$H58)</f>
        <v/>
      </c>
      <c r="M58" s="44">
        <f>IF($C58="","",$J58-$L58-$P58)</f>
        <v/>
      </c>
      <c r="N58" s="40" t="n"/>
      <c r="O58" s="40" t="n"/>
      <c r="P58" s="44">
        <f>IF(OR($C58="",$N58&lt;&gt;"Card"),0,ROUND(($J58+$K58)*IFERROR(INDEX(Shows!$G$4:$G$23,MATCH($B58,Shows!$A$4:$A$23,0)),0)+IFERROR(INDEX(Shows!$H$4:$H$23,MATCH($B58,Shows!$A$4:$A$23,0)),0),2))</f>
        <v/>
      </c>
      <c r="Q58" s="44">
        <f>IF($C58="","",$J58+$K58-$P58)</f>
        <v/>
      </c>
      <c r="R58" s="40" t="n"/>
      <c r="S58" s="40" t="n"/>
      <c r="T58" s="40" t="n"/>
    </row>
    <row r="59">
      <c r="A59" s="48" t="n"/>
      <c r="B59" s="34" t="n"/>
      <c r="C59" s="34" t="n"/>
      <c r="D59" s="15">
        <f>IF($C59="","",IFERROR(INDEX(Inventory!$B$4:$B$253,MATCH($C59,Inventory!$A$4:$A$253,0))&amp;" "&amp;INDEX(Inventory!$C$4:$C$253,MATCH($C59,Inventory!$A$4:$A$253,0)),"SKU not in Inventory"))</f>
        <v/>
      </c>
      <c r="E59" s="36" t="n"/>
      <c r="F59" s="35" t="n"/>
      <c r="G59" s="35" t="n"/>
      <c r="H59" s="49">
        <f>IF($C59="","",IFERROR(INDEX(Inventory!$H$4:$H$253,MATCH($C59,Inventory!$A$4:$A$253,0)),0))</f>
        <v/>
      </c>
      <c r="I59" s="34" t="n"/>
      <c r="J59" s="38">
        <f>IF($C59="","",MAX(0,$E59*$F59-$G59))</f>
        <v/>
      </c>
      <c r="K59" s="38">
        <f>IF(OR($C59="",$I59="No"),0,ROUND($J59*IFERROR(INDEX(Shows!$F$4:$F$23,MATCH($B59,Shows!$A$4:$A$23,0)),0),2))</f>
        <v/>
      </c>
      <c r="L59" s="38">
        <f>IF($C59="","",$E59*$H59)</f>
        <v/>
      </c>
      <c r="M59" s="38">
        <f>IF($C59="","",$J59-$L59-$P59)</f>
        <v/>
      </c>
      <c r="N59" s="34" t="n"/>
      <c r="O59" s="34" t="n"/>
      <c r="P59" s="38">
        <f>IF(OR($C59="",$N59&lt;&gt;"Card"),0,ROUND(($J59+$K59)*IFERROR(INDEX(Shows!$G$4:$G$23,MATCH($B59,Shows!$A$4:$A$23,0)),0)+IFERROR(INDEX(Shows!$H$4:$H$23,MATCH($B59,Shows!$A$4:$A$23,0)),0),2))</f>
        <v/>
      </c>
      <c r="Q59" s="38">
        <f>IF($C59="","",$J59+$K59-$P59)</f>
        <v/>
      </c>
      <c r="R59" s="34" t="n"/>
      <c r="S59" s="34" t="n"/>
      <c r="T59" s="34" t="n"/>
    </row>
    <row r="60">
      <c r="A60" s="46" t="n"/>
      <c r="B60" s="40" t="n"/>
      <c r="C60" s="40" t="n"/>
      <c r="D60" s="11">
        <f>IF($C60="","",IFERROR(INDEX(Inventory!$B$4:$B$253,MATCH($C60,Inventory!$A$4:$A$253,0))&amp;" "&amp;INDEX(Inventory!$C$4:$C$253,MATCH($C60,Inventory!$A$4:$A$253,0)),"SKU not in Inventory"))</f>
        <v/>
      </c>
      <c r="E60" s="42" t="n"/>
      <c r="F60" s="41" t="n"/>
      <c r="G60" s="41" t="n"/>
      <c r="H60" s="47">
        <f>IF($C60="","",IFERROR(INDEX(Inventory!$H$4:$H$253,MATCH($C60,Inventory!$A$4:$A$253,0)),0))</f>
        <v/>
      </c>
      <c r="I60" s="40" t="n"/>
      <c r="J60" s="44">
        <f>IF($C60="","",MAX(0,$E60*$F60-$G60))</f>
        <v/>
      </c>
      <c r="K60" s="44">
        <f>IF(OR($C60="",$I60="No"),0,ROUND($J60*IFERROR(INDEX(Shows!$F$4:$F$23,MATCH($B60,Shows!$A$4:$A$23,0)),0),2))</f>
        <v/>
      </c>
      <c r="L60" s="44">
        <f>IF($C60="","",$E60*$H60)</f>
        <v/>
      </c>
      <c r="M60" s="44">
        <f>IF($C60="","",$J60-$L60-$P60)</f>
        <v/>
      </c>
      <c r="N60" s="40" t="n"/>
      <c r="O60" s="40" t="n"/>
      <c r="P60" s="44">
        <f>IF(OR($C60="",$N60&lt;&gt;"Card"),0,ROUND(($J60+$K60)*IFERROR(INDEX(Shows!$G$4:$G$23,MATCH($B60,Shows!$A$4:$A$23,0)),0)+IFERROR(INDEX(Shows!$H$4:$H$23,MATCH($B60,Shows!$A$4:$A$23,0)),0),2))</f>
        <v/>
      </c>
      <c r="Q60" s="44">
        <f>IF($C60="","",$J60+$K60-$P60)</f>
        <v/>
      </c>
      <c r="R60" s="40" t="n"/>
      <c r="S60" s="40" t="n"/>
      <c r="T60" s="40" t="n"/>
    </row>
    <row r="61">
      <c r="A61" s="48" t="n"/>
      <c r="B61" s="34" t="n"/>
      <c r="C61" s="34" t="n"/>
      <c r="D61" s="15">
        <f>IF($C61="","",IFERROR(INDEX(Inventory!$B$4:$B$253,MATCH($C61,Inventory!$A$4:$A$253,0))&amp;" "&amp;INDEX(Inventory!$C$4:$C$253,MATCH($C61,Inventory!$A$4:$A$253,0)),"SKU not in Inventory"))</f>
        <v/>
      </c>
      <c r="E61" s="36" t="n"/>
      <c r="F61" s="35" t="n"/>
      <c r="G61" s="35" t="n"/>
      <c r="H61" s="49">
        <f>IF($C61="","",IFERROR(INDEX(Inventory!$H$4:$H$253,MATCH($C61,Inventory!$A$4:$A$253,0)),0))</f>
        <v/>
      </c>
      <c r="I61" s="34" t="n"/>
      <c r="J61" s="38">
        <f>IF($C61="","",MAX(0,$E61*$F61-$G61))</f>
        <v/>
      </c>
      <c r="K61" s="38">
        <f>IF(OR($C61="",$I61="No"),0,ROUND($J61*IFERROR(INDEX(Shows!$F$4:$F$23,MATCH($B61,Shows!$A$4:$A$23,0)),0),2))</f>
        <v/>
      </c>
      <c r="L61" s="38">
        <f>IF($C61="","",$E61*$H61)</f>
        <v/>
      </c>
      <c r="M61" s="38">
        <f>IF($C61="","",$J61-$L61-$P61)</f>
        <v/>
      </c>
      <c r="N61" s="34" t="n"/>
      <c r="O61" s="34" t="n"/>
      <c r="P61" s="38">
        <f>IF(OR($C61="",$N61&lt;&gt;"Card"),0,ROUND(($J61+$K61)*IFERROR(INDEX(Shows!$G$4:$G$23,MATCH($B61,Shows!$A$4:$A$23,0)),0)+IFERROR(INDEX(Shows!$H$4:$H$23,MATCH($B61,Shows!$A$4:$A$23,0)),0),2))</f>
        <v/>
      </c>
      <c r="Q61" s="38">
        <f>IF($C61="","",$J61+$K61-$P61)</f>
        <v/>
      </c>
      <c r="R61" s="34" t="n"/>
      <c r="S61" s="34" t="n"/>
      <c r="T61" s="34" t="n"/>
    </row>
    <row r="62">
      <c r="A62" s="46" t="n"/>
      <c r="B62" s="40" t="n"/>
      <c r="C62" s="40" t="n"/>
      <c r="D62" s="11">
        <f>IF($C62="","",IFERROR(INDEX(Inventory!$B$4:$B$253,MATCH($C62,Inventory!$A$4:$A$253,0))&amp;" "&amp;INDEX(Inventory!$C$4:$C$253,MATCH($C62,Inventory!$A$4:$A$253,0)),"SKU not in Inventory"))</f>
        <v/>
      </c>
      <c r="E62" s="42" t="n"/>
      <c r="F62" s="41" t="n"/>
      <c r="G62" s="41" t="n"/>
      <c r="H62" s="47">
        <f>IF($C62="","",IFERROR(INDEX(Inventory!$H$4:$H$253,MATCH($C62,Inventory!$A$4:$A$253,0)),0))</f>
        <v/>
      </c>
      <c r="I62" s="40" t="n"/>
      <c r="J62" s="44">
        <f>IF($C62="","",MAX(0,$E62*$F62-$G62))</f>
        <v/>
      </c>
      <c r="K62" s="44">
        <f>IF(OR($C62="",$I62="No"),0,ROUND($J62*IFERROR(INDEX(Shows!$F$4:$F$23,MATCH($B62,Shows!$A$4:$A$23,0)),0),2))</f>
        <v/>
      </c>
      <c r="L62" s="44">
        <f>IF($C62="","",$E62*$H62)</f>
        <v/>
      </c>
      <c r="M62" s="44">
        <f>IF($C62="","",$J62-$L62-$P62)</f>
        <v/>
      </c>
      <c r="N62" s="40" t="n"/>
      <c r="O62" s="40" t="n"/>
      <c r="P62" s="44">
        <f>IF(OR($C62="",$N62&lt;&gt;"Card"),0,ROUND(($J62+$K62)*IFERROR(INDEX(Shows!$G$4:$G$23,MATCH($B62,Shows!$A$4:$A$23,0)),0)+IFERROR(INDEX(Shows!$H$4:$H$23,MATCH($B62,Shows!$A$4:$A$23,0)),0),2))</f>
        <v/>
      </c>
      <c r="Q62" s="44">
        <f>IF($C62="","",$J62+$K62-$P62)</f>
        <v/>
      </c>
      <c r="R62" s="40" t="n"/>
      <c r="S62" s="40" t="n"/>
      <c r="T62" s="40" t="n"/>
    </row>
    <row r="63">
      <c r="A63" s="48" t="n"/>
      <c r="B63" s="34" t="n"/>
      <c r="C63" s="34" t="n"/>
      <c r="D63" s="15">
        <f>IF($C63="","",IFERROR(INDEX(Inventory!$B$4:$B$253,MATCH($C63,Inventory!$A$4:$A$253,0))&amp;" "&amp;INDEX(Inventory!$C$4:$C$253,MATCH($C63,Inventory!$A$4:$A$253,0)),"SKU not in Inventory"))</f>
        <v/>
      </c>
      <c r="E63" s="36" t="n"/>
      <c r="F63" s="35" t="n"/>
      <c r="G63" s="35" t="n"/>
      <c r="H63" s="49">
        <f>IF($C63="","",IFERROR(INDEX(Inventory!$H$4:$H$253,MATCH($C63,Inventory!$A$4:$A$253,0)),0))</f>
        <v/>
      </c>
      <c r="I63" s="34" t="n"/>
      <c r="J63" s="38">
        <f>IF($C63="","",MAX(0,$E63*$F63-$G63))</f>
        <v/>
      </c>
      <c r="K63" s="38">
        <f>IF(OR($C63="",$I63="No"),0,ROUND($J63*IFERROR(INDEX(Shows!$F$4:$F$23,MATCH($B63,Shows!$A$4:$A$23,0)),0),2))</f>
        <v/>
      </c>
      <c r="L63" s="38">
        <f>IF($C63="","",$E63*$H63)</f>
        <v/>
      </c>
      <c r="M63" s="38">
        <f>IF($C63="","",$J63-$L63-$P63)</f>
        <v/>
      </c>
      <c r="N63" s="34" t="n"/>
      <c r="O63" s="34" t="n"/>
      <c r="P63" s="38">
        <f>IF(OR($C63="",$N63&lt;&gt;"Card"),0,ROUND(($J63+$K63)*IFERROR(INDEX(Shows!$G$4:$G$23,MATCH($B63,Shows!$A$4:$A$23,0)),0)+IFERROR(INDEX(Shows!$H$4:$H$23,MATCH($B63,Shows!$A$4:$A$23,0)),0),2))</f>
        <v/>
      </c>
      <c r="Q63" s="38">
        <f>IF($C63="","",$J63+$K63-$P63)</f>
        <v/>
      </c>
      <c r="R63" s="34" t="n"/>
      <c r="S63" s="34" t="n"/>
      <c r="T63" s="34" t="n"/>
    </row>
    <row r="64">
      <c r="A64" s="46" t="n"/>
      <c r="B64" s="40" t="n"/>
      <c r="C64" s="40" t="n"/>
      <c r="D64" s="11">
        <f>IF($C64="","",IFERROR(INDEX(Inventory!$B$4:$B$253,MATCH($C64,Inventory!$A$4:$A$253,0))&amp;" "&amp;INDEX(Inventory!$C$4:$C$253,MATCH($C64,Inventory!$A$4:$A$253,0)),"SKU not in Inventory"))</f>
        <v/>
      </c>
      <c r="E64" s="42" t="n"/>
      <c r="F64" s="41" t="n"/>
      <c r="G64" s="41" t="n"/>
      <c r="H64" s="47">
        <f>IF($C64="","",IFERROR(INDEX(Inventory!$H$4:$H$253,MATCH($C64,Inventory!$A$4:$A$253,0)),0))</f>
        <v/>
      </c>
      <c r="I64" s="40" t="n"/>
      <c r="J64" s="44">
        <f>IF($C64="","",MAX(0,$E64*$F64-$G64))</f>
        <v/>
      </c>
      <c r="K64" s="44">
        <f>IF(OR($C64="",$I64="No"),0,ROUND($J64*IFERROR(INDEX(Shows!$F$4:$F$23,MATCH($B64,Shows!$A$4:$A$23,0)),0),2))</f>
        <v/>
      </c>
      <c r="L64" s="44">
        <f>IF($C64="","",$E64*$H64)</f>
        <v/>
      </c>
      <c r="M64" s="44">
        <f>IF($C64="","",$J64-$L64-$P64)</f>
        <v/>
      </c>
      <c r="N64" s="40" t="n"/>
      <c r="O64" s="40" t="n"/>
      <c r="P64" s="44">
        <f>IF(OR($C64="",$N64&lt;&gt;"Card"),0,ROUND(($J64+$K64)*IFERROR(INDEX(Shows!$G$4:$G$23,MATCH($B64,Shows!$A$4:$A$23,0)),0)+IFERROR(INDEX(Shows!$H$4:$H$23,MATCH($B64,Shows!$A$4:$A$23,0)),0),2))</f>
        <v/>
      </c>
      <c r="Q64" s="44">
        <f>IF($C64="","",$J64+$K64-$P64)</f>
        <v/>
      </c>
      <c r="R64" s="40" t="n"/>
      <c r="S64" s="40" t="n"/>
      <c r="T64" s="40" t="n"/>
    </row>
    <row r="65">
      <c r="A65" s="48" t="n"/>
      <c r="B65" s="34" t="n"/>
      <c r="C65" s="34" t="n"/>
      <c r="D65" s="15">
        <f>IF($C65="","",IFERROR(INDEX(Inventory!$B$4:$B$253,MATCH($C65,Inventory!$A$4:$A$253,0))&amp;" "&amp;INDEX(Inventory!$C$4:$C$253,MATCH($C65,Inventory!$A$4:$A$253,0)),"SKU not in Inventory"))</f>
        <v/>
      </c>
      <c r="E65" s="36" t="n"/>
      <c r="F65" s="35" t="n"/>
      <c r="G65" s="35" t="n"/>
      <c r="H65" s="49">
        <f>IF($C65="","",IFERROR(INDEX(Inventory!$H$4:$H$253,MATCH($C65,Inventory!$A$4:$A$253,0)),0))</f>
        <v/>
      </c>
      <c r="I65" s="34" t="n"/>
      <c r="J65" s="38">
        <f>IF($C65="","",MAX(0,$E65*$F65-$G65))</f>
        <v/>
      </c>
      <c r="K65" s="38">
        <f>IF(OR($C65="",$I65="No"),0,ROUND($J65*IFERROR(INDEX(Shows!$F$4:$F$23,MATCH($B65,Shows!$A$4:$A$23,0)),0),2))</f>
        <v/>
      </c>
      <c r="L65" s="38">
        <f>IF($C65="","",$E65*$H65)</f>
        <v/>
      </c>
      <c r="M65" s="38">
        <f>IF($C65="","",$J65-$L65-$P65)</f>
        <v/>
      </c>
      <c r="N65" s="34" t="n"/>
      <c r="O65" s="34" t="n"/>
      <c r="P65" s="38">
        <f>IF(OR($C65="",$N65&lt;&gt;"Card"),0,ROUND(($J65+$K65)*IFERROR(INDEX(Shows!$G$4:$G$23,MATCH($B65,Shows!$A$4:$A$23,0)),0)+IFERROR(INDEX(Shows!$H$4:$H$23,MATCH($B65,Shows!$A$4:$A$23,0)),0),2))</f>
        <v/>
      </c>
      <c r="Q65" s="38">
        <f>IF($C65="","",$J65+$K65-$P65)</f>
        <v/>
      </c>
      <c r="R65" s="34" t="n"/>
      <c r="S65" s="34" t="n"/>
      <c r="T65" s="34" t="n"/>
    </row>
    <row r="66">
      <c r="A66" s="46" t="n"/>
      <c r="B66" s="40" t="n"/>
      <c r="C66" s="40" t="n"/>
      <c r="D66" s="11">
        <f>IF($C66="","",IFERROR(INDEX(Inventory!$B$4:$B$253,MATCH($C66,Inventory!$A$4:$A$253,0))&amp;" "&amp;INDEX(Inventory!$C$4:$C$253,MATCH($C66,Inventory!$A$4:$A$253,0)),"SKU not in Inventory"))</f>
        <v/>
      </c>
      <c r="E66" s="42" t="n"/>
      <c r="F66" s="41" t="n"/>
      <c r="G66" s="41" t="n"/>
      <c r="H66" s="47">
        <f>IF($C66="","",IFERROR(INDEX(Inventory!$H$4:$H$253,MATCH($C66,Inventory!$A$4:$A$253,0)),0))</f>
        <v/>
      </c>
      <c r="I66" s="40" t="n"/>
      <c r="J66" s="44">
        <f>IF($C66="","",MAX(0,$E66*$F66-$G66))</f>
        <v/>
      </c>
      <c r="K66" s="44">
        <f>IF(OR($C66="",$I66="No"),0,ROUND($J66*IFERROR(INDEX(Shows!$F$4:$F$23,MATCH($B66,Shows!$A$4:$A$23,0)),0),2))</f>
        <v/>
      </c>
      <c r="L66" s="44">
        <f>IF($C66="","",$E66*$H66)</f>
        <v/>
      </c>
      <c r="M66" s="44">
        <f>IF($C66="","",$J66-$L66-$P66)</f>
        <v/>
      </c>
      <c r="N66" s="40" t="n"/>
      <c r="O66" s="40" t="n"/>
      <c r="P66" s="44">
        <f>IF(OR($C66="",$N66&lt;&gt;"Card"),0,ROUND(($J66+$K66)*IFERROR(INDEX(Shows!$G$4:$G$23,MATCH($B66,Shows!$A$4:$A$23,0)),0)+IFERROR(INDEX(Shows!$H$4:$H$23,MATCH($B66,Shows!$A$4:$A$23,0)),0),2))</f>
        <v/>
      </c>
      <c r="Q66" s="44">
        <f>IF($C66="","",$J66+$K66-$P66)</f>
        <v/>
      </c>
      <c r="R66" s="40" t="n"/>
      <c r="S66" s="40" t="n"/>
      <c r="T66" s="40" t="n"/>
    </row>
    <row r="67">
      <c r="A67" s="48" t="n"/>
      <c r="B67" s="34" t="n"/>
      <c r="C67" s="34" t="n"/>
      <c r="D67" s="15">
        <f>IF($C67="","",IFERROR(INDEX(Inventory!$B$4:$B$253,MATCH($C67,Inventory!$A$4:$A$253,0))&amp;" "&amp;INDEX(Inventory!$C$4:$C$253,MATCH($C67,Inventory!$A$4:$A$253,0)),"SKU not in Inventory"))</f>
        <v/>
      </c>
      <c r="E67" s="36" t="n"/>
      <c r="F67" s="35" t="n"/>
      <c r="G67" s="35" t="n"/>
      <c r="H67" s="49">
        <f>IF($C67="","",IFERROR(INDEX(Inventory!$H$4:$H$253,MATCH($C67,Inventory!$A$4:$A$253,0)),0))</f>
        <v/>
      </c>
      <c r="I67" s="34" t="n"/>
      <c r="J67" s="38">
        <f>IF($C67="","",MAX(0,$E67*$F67-$G67))</f>
        <v/>
      </c>
      <c r="K67" s="38">
        <f>IF(OR($C67="",$I67="No"),0,ROUND($J67*IFERROR(INDEX(Shows!$F$4:$F$23,MATCH($B67,Shows!$A$4:$A$23,0)),0),2))</f>
        <v/>
      </c>
      <c r="L67" s="38">
        <f>IF($C67="","",$E67*$H67)</f>
        <v/>
      </c>
      <c r="M67" s="38">
        <f>IF($C67="","",$J67-$L67-$P67)</f>
        <v/>
      </c>
      <c r="N67" s="34" t="n"/>
      <c r="O67" s="34" t="n"/>
      <c r="P67" s="38">
        <f>IF(OR($C67="",$N67&lt;&gt;"Card"),0,ROUND(($J67+$K67)*IFERROR(INDEX(Shows!$G$4:$G$23,MATCH($B67,Shows!$A$4:$A$23,0)),0)+IFERROR(INDEX(Shows!$H$4:$H$23,MATCH($B67,Shows!$A$4:$A$23,0)),0),2))</f>
        <v/>
      </c>
      <c r="Q67" s="38">
        <f>IF($C67="","",$J67+$K67-$P67)</f>
        <v/>
      </c>
      <c r="R67" s="34" t="n"/>
      <c r="S67" s="34" t="n"/>
      <c r="T67" s="34" t="n"/>
    </row>
    <row r="68">
      <c r="A68" s="46" t="n"/>
      <c r="B68" s="40" t="n"/>
      <c r="C68" s="40" t="n"/>
      <c r="D68" s="11">
        <f>IF($C68="","",IFERROR(INDEX(Inventory!$B$4:$B$253,MATCH($C68,Inventory!$A$4:$A$253,0))&amp;" "&amp;INDEX(Inventory!$C$4:$C$253,MATCH($C68,Inventory!$A$4:$A$253,0)),"SKU not in Inventory"))</f>
        <v/>
      </c>
      <c r="E68" s="42" t="n"/>
      <c r="F68" s="41" t="n"/>
      <c r="G68" s="41" t="n"/>
      <c r="H68" s="47">
        <f>IF($C68="","",IFERROR(INDEX(Inventory!$H$4:$H$253,MATCH($C68,Inventory!$A$4:$A$253,0)),0))</f>
        <v/>
      </c>
      <c r="I68" s="40" t="n"/>
      <c r="J68" s="44">
        <f>IF($C68="","",MAX(0,$E68*$F68-$G68))</f>
        <v/>
      </c>
      <c r="K68" s="44">
        <f>IF(OR($C68="",$I68="No"),0,ROUND($J68*IFERROR(INDEX(Shows!$F$4:$F$23,MATCH($B68,Shows!$A$4:$A$23,0)),0),2))</f>
        <v/>
      </c>
      <c r="L68" s="44">
        <f>IF($C68="","",$E68*$H68)</f>
        <v/>
      </c>
      <c r="M68" s="44">
        <f>IF($C68="","",$J68-$L68-$P68)</f>
        <v/>
      </c>
      <c r="N68" s="40" t="n"/>
      <c r="O68" s="40" t="n"/>
      <c r="P68" s="44">
        <f>IF(OR($C68="",$N68&lt;&gt;"Card"),0,ROUND(($J68+$K68)*IFERROR(INDEX(Shows!$G$4:$G$23,MATCH($B68,Shows!$A$4:$A$23,0)),0)+IFERROR(INDEX(Shows!$H$4:$H$23,MATCH($B68,Shows!$A$4:$A$23,0)),0),2))</f>
        <v/>
      </c>
      <c r="Q68" s="44">
        <f>IF($C68="","",$J68+$K68-$P68)</f>
        <v/>
      </c>
      <c r="R68" s="40" t="n"/>
      <c r="S68" s="40" t="n"/>
      <c r="T68" s="40" t="n"/>
    </row>
    <row r="69">
      <c r="A69" s="48" t="n"/>
      <c r="B69" s="34" t="n"/>
      <c r="C69" s="34" t="n"/>
      <c r="D69" s="15">
        <f>IF($C69="","",IFERROR(INDEX(Inventory!$B$4:$B$253,MATCH($C69,Inventory!$A$4:$A$253,0))&amp;" "&amp;INDEX(Inventory!$C$4:$C$253,MATCH($C69,Inventory!$A$4:$A$253,0)),"SKU not in Inventory"))</f>
        <v/>
      </c>
      <c r="E69" s="36" t="n"/>
      <c r="F69" s="35" t="n"/>
      <c r="G69" s="35" t="n"/>
      <c r="H69" s="49">
        <f>IF($C69="","",IFERROR(INDEX(Inventory!$H$4:$H$253,MATCH($C69,Inventory!$A$4:$A$253,0)),0))</f>
        <v/>
      </c>
      <c r="I69" s="34" t="n"/>
      <c r="J69" s="38">
        <f>IF($C69="","",MAX(0,$E69*$F69-$G69))</f>
        <v/>
      </c>
      <c r="K69" s="38">
        <f>IF(OR($C69="",$I69="No"),0,ROUND($J69*IFERROR(INDEX(Shows!$F$4:$F$23,MATCH($B69,Shows!$A$4:$A$23,0)),0),2))</f>
        <v/>
      </c>
      <c r="L69" s="38">
        <f>IF($C69="","",$E69*$H69)</f>
        <v/>
      </c>
      <c r="M69" s="38">
        <f>IF($C69="","",$J69-$L69-$P69)</f>
        <v/>
      </c>
      <c r="N69" s="34" t="n"/>
      <c r="O69" s="34" t="n"/>
      <c r="P69" s="38">
        <f>IF(OR($C69="",$N69&lt;&gt;"Card"),0,ROUND(($J69+$K69)*IFERROR(INDEX(Shows!$G$4:$G$23,MATCH($B69,Shows!$A$4:$A$23,0)),0)+IFERROR(INDEX(Shows!$H$4:$H$23,MATCH($B69,Shows!$A$4:$A$23,0)),0),2))</f>
        <v/>
      </c>
      <c r="Q69" s="38">
        <f>IF($C69="","",$J69+$K69-$P69)</f>
        <v/>
      </c>
      <c r="R69" s="34" t="n"/>
      <c r="S69" s="34" t="n"/>
      <c r="T69" s="34" t="n"/>
    </row>
    <row r="70">
      <c r="A70" s="46" t="n"/>
      <c r="B70" s="40" t="n"/>
      <c r="C70" s="40" t="n"/>
      <c r="D70" s="11">
        <f>IF($C70="","",IFERROR(INDEX(Inventory!$B$4:$B$253,MATCH($C70,Inventory!$A$4:$A$253,0))&amp;" "&amp;INDEX(Inventory!$C$4:$C$253,MATCH($C70,Inventory!$A$4:$A$253,0)),"SKU not in Inventory"))</f>
        <v/>
      </c>
      <c r="E70" s="42" t="n"/>
      <c r="F70" s="41" t="n"/>
      <c r="G70" s="41" t="n"/>
      <c r="H70" s="47">
        <f>IF($C70="","",IFERROR(INDEX(Inventory!$H$4:$H$253,MATCH($C70,Inventory!$A$4:$A$253,0)),0))</f>
        <v/>
      </c>
      <c r="I70" s="40" t="n"/>
      <c r="J70" s="44">
        <f>IF($C70="","",MAX(0,$E70*$F70-$G70))</f>
        <v/>
      </c>
      <c r="K70" s="44">
        <f>IF(OR($C70="",$I70="No"),0,ROUND($J70*IFERROR(INDEX(Shows!$F$4:$F$23,MATCH($B70,Shows!$A$4:$A$23,0)),0),2))</f>
        <v/>
      </c>
      <c r="L70" s="44">
        <f>IF($C70="","",$E70*$H70)</f>
        <v/>
      </c>
      <c r="M70" s="44">
        <f>IF($C70="","",$J70-$L70-$P70)</f>
        <v/>
      </c>
      <c r="N70" s="40" t="n"/>
      <c r="O70" s="40" t="n"/>
      <c r="P70" s="44">
        <f>IF(OR($C70="",$N70&lt;&gt;"Card"),0,ROUND(($J70+$K70)*IFERROR(INDEX(Shows!$G$4:$G$23,MATCH($B70,Shows!$A$4:$A$23,0)),0)+IFERROR(INDEX(Shows!$H$4:$H$23,MATCH($B70,Shows!$A$4:$A$23,0)),0),2))</f>
        <v/>
      </c>
      <c r="Q70" s="44">
        <f>IF($C70="","",$J70+$K70-$P70)</f>
        <v/>
      </c>
      <c r="R70" s="40" t="n"/>
      <c r="S70" s="40" t="n"/>
      <c r="T70" s="40" t="n"/>
    </row>
    <row r="71">
      <c r="A71" s="48" t="n"/>
      <c r="B71" s="34" t="n"/>
      <c r="C71" s="34" t="n"/>
      <c r="D71" s="15">
        <f>IF($C71="","",IFERROR(INDEX(Inventory!$B$4:$B$253,MATCH($C71,Inventory!$A$4:$A$253,0))&amp;" "&amp;INDEX(Inventory!$C$4:$C$253,MATCH($C71,Inventory!$A$4:$A$253,0)),"SKU not in Inventory"))</f>
        <v/>
      </c>
      <c r="E71" s="36" t="n"/>
      <c r="F71" s="35" t="n"/>
      <c r="G71" s="35" t="n"/>
      <c r="H71" s="49">
        <f>IF($C71="","",IFERROR(INDEX(Inventory!$H$4:$H$253,MATCH($C71,Inventory!$A$4:$A$253,0)),0))</f>
        <v/>
      </c>
      <c r="I71" s="34" t="n"/>
      <c r="J71" s="38">
        <f>IF($C71="","",MAX(0,$E71*$F71-$G71))</f>
        <v/>
      </c>
      <c r="K71" s="38">
        <f>IF(OR($C71="",$I71="No"),0,ROUND($J71*IFERROR(INDEX(Shows!$F$4:$F$23,MATCH($B71,Shows!$A$4:$A$23,0)),0),2))</f>
        <v/>
      </c>
      <c r="L71" s="38">
        <f>IF($C71="","",$E71*$H71)</f>
        <v/>
      </c>
      <c r="M71" s="38">
        <f>IF($C71="","",$J71-$L71-$P71)</f>
        <v/>
      </c>
      <c r="N71" s="34" t="n"/>
      <c r="O71" s="34" t="n"/>
      <c r="P71" s="38">
        <f>IF(OR($C71="",$N71&lt;&gt;"Card"),0,ROUND(($J71+$K71)*IFERROR(INDEX(Shows!$G$4:$G$23,MATCH($B71,Shows!$A$4:$A$23,0)),0)+IFERROR(INDEX(Shows!$H$4:$H$23,MATCH($B71,Shows!$A$4:$A$23,0)),0),2))</f>
        <v/>
      </c>
      <c r="Q71" s="38">
        <f>IF($C71="","",$J71+$K71-$P71)</f>
        <v/>
      </c>
      <c r="R71" s="34" t="n"/>
      <c r="S71" s="34" t="n"/>
      <c r="T71" s="34" t="n"/>
    </row>
    <row r="72">
      <c r="A72" s="46" t="n"/>
      <c r="B72" s="40" t="n"/>
      <c r="C72" s="40" t="n"/>
      <c r="D72" s="11">
        <f>IF($C72="","",IFERROR(INDEX(Inventory!$B$4:$B$253,MATCH($C72,Inventory!$A$4:$A$253,0))&amp;" "&amp;INDEX(Inventory!$C$4:$C$253,MATCH($C72,Inventory!$A$4:$A$253,0)),"SKU not in Inventory"))</f>
        <v/>
      </c>
      <c r="E72" s="42" t="n"/>
      <c r="F72" s="41" t="n"/>
      <c r="G72" s="41" t="n"/>
      <c r="H72" s="47">
        <f>IF($C72="","",IFERROR(INDEX(Inventory!$H$4:$H$253,MATCH($C72,Inventory!$A$4:$A$253,0)),0))</f>
        <v/>
      </c>
      <c r="I72" s="40" t="n"/>
      <c r="J72" s="44">
        <f>IF($C72="","",MAX(0,$E72*$F72-$G72))</f>
        <v/>
      </c>
      <c r="K72" s="44">
        <f>IF(OR($C72="",$I72="No"),0,ROUND($J72*IFERROR(INDEX(Shows!$F$4:$F$23,MATCH($B72,Shows!$A$4:$A$23,0)),0),2))</f>
        <v/>
      </c>
      <c r="L72" s="44">
        <f>IF($C72="","",$E72*$H72)</f>
        <v/>
      </c>
      <c r="M72" s="44">
        <f>IF($C72="","",$J72-$L72-$P72)</f>
        <v/>
      </c>
      <c r="N72" s="40" t="n"/>
      <c r="O72" s="40" t="n"/>
      <c r="P72" s="44">
        <f>IF(OR($C72="",$N72&lt;&gt;"Card"),0,ROUND(($J72+$K72)*IFERROR(INDEX(Shows!$G$4:$G$23,MATCH($B72,Shows!$A$4:$A$23,0)),0)+IFERROR(INDEX(Shows!$H$4:$H$23,MATCH($B72,Shows!$A$4:$A$23,0)),0),2))</f>
        <v/>
      </c>
      <c r="Q72" s="44">
        <f>IF($C72="","",$J72+$K72-$P72)</f>
        <v/>
      </c>
      <c r="R72" s="40" t="n"/>
      <c r="S72" s="40" t="n"/>
      <c r="T72" s="40" t="n"/>
    </row>
    <row r="73">
      <c r="A73" s="48" t="n"/>
      <c r="B73" s="34" t="n"/>
      <c r="C73" s="34" t="n"/>
      <c r="D73" s="15">
        <f>IF($C73="","",IFERROR(INDEX(Inventory!$B$4:$B$253,MATCH($C73,Inventory!$A$4:$A$253,0))&amp;" "&amp;INDEX(Inventory!$C$4:$C$253,MATCH($C73,Inventory!$A$4:$A$253,0)),"SKU not in Inventory"))</f>
        <v/>
      </c>
      <c r="E73" s="36" t="n"/>
      <c r="F73" s="35" t="n"/>
      <c r="G73" s="35" t="n"/>
      <c r="H73" s="49">
        <f>IF($C73="","",IFERROR(INDEX(Inventory!$H$4:$H$253,MATCH($C73,Inventory!$A$4:$A$253,0)),0))</f>
        <v/>
      </c>
      <c r="I73" s="34" t="n"/>
      <c r="J73" s="38">
        <f>IF($C73="","",MAX(0,$E73*$F73-$G73))</f>
        <v/>
      </c>
      <c r="K73" s="38">
        <f>IF(OR($C73="",$I73="No"),0,ROUND($J73*IFERROR(INDEX(Shows!$F$4:$F$23,MATCH($B73,Shows!$A$4:$A$23,0)),0),2))</f>
        <v/>
      </c>
      <c r="L73" s="38">
        <f>IF($C73="","",$E73*$H73)</f>
        <v/>
      </c>
      <c r="M73" s="38">
        <f>IF($C73="","",$J73-$L73-$P73)</f>
        <v/>
      </c>
      <c r="N73" s="34" t="n"/>
      <c r="O73" s="34" t="n"/>
      <c r="P73" s="38">
        <f>IF(OR($C73="",$N73&lt;&gt;"Card"),0,ROUND(($J73+$K73)*IFERROR(INDEX(Shows!$G$4:$G$23,MATCH($B73,Shows!$A$4:$A$23,0)),0)+IFERROR(INDEX(Shows!$H$4:$H$23,MATCH($B73,Shows!$A$4:$A$23,0)),0),2))</f>
        <v/>
      </c>
      <c r="Q73" s="38">
        <f>IF($C73="","",$J73+$K73-$P73)</f>
        <v/>
      </c>
      <c r="R73" s="34" t="n"/>
      <c r="S73" s="34" t="n"/>
      <c r="T73" s="34" t="n"/>
    </row>
    <row r="74">
      <c r="A74" s="46" t="n"/>
      <c r="B74" s="40" t="n"/>
      <c r="C74" s="40" t="n"/>
      <c r="D74" s="11">
        <f>IF($C74="","",IFERROR(INDEX(Inventory!$B$4:$B$253,MATCH($C74,Inventory!$A$4:$A$253,0))&amp;" "&amp;INDEX(Inventory!$C$4:$C$253,MATCH($C74,Inventory!$A$4:$A$253,0)),"SKU not in Inventory"))</f>
        <v/>
      </c>
      <c r="E74" s="42" t="n"/>
      <c r="F74" s="41" t="n"/>
      <c r="G74" s="41" t="n"/>
      <c r="H74" s="47">
        <f>IF($C74="","",IFERROR(INDEX(Inventory!$H$4:$H$253,MATCH($C74,Inventory!$A$4:$A$253,0)),0))</f>
        <v/>
      </c>
      <c r="I74" s="40" t="n"/>
      <c r="J74" s="44">
        <f>IF($C74="","",MAX(0,$E74*$F74-$G74))</f>
        <v/>
      </c>
      <c r="K74" s="44">
        <f>IF(OR($C74="",$I74="No"),0,ROUND($J74*IFERROR(INDEX(Shows!$F$4:$F$23,MATCH($B74,Shows!$A$4:$A$23,0)),0),2))</f>
        <v/>
      </c>
      <c r="L74" s="44">
        <f>IF($C74="","",$E74*$H74)</f>
        <v/>
      </c>
      <c r="M74" s="44">
        <f>IF($C74="","",$J74-$L74-$P74)</f>
        <v/>
      </c>
      <c r="N74" s="40" t="n"/>
      <c r="O74" s="40" t="n"/>
      <c r="P74" s="44">
        <f>IF(OR($C74="",$N74&lt;&gt;"Card"),0,ROUND(($J74+$K74)*IFERROR(INDEX(Shows!$G$4:$G$23,MATCH($B74,Shows!$A$4:$A$23,0)),0)+IFERROR(INDEX(Shows!$H$4:$H$23,MATCH($B74,Shows!$A$4:$A$23,0)),0),2))</f>
        <v/>
      </c>
      <c r="Q74" s="44">
        <f>IF($C74="","",$J74+$K74-$P74)</f>
        <v/>
      </c>
      <c r="R74" s="40" t="n"/>
      <c r="S74" s="40" t="n"/>
      <c r="T74" s="40" t="n"/>
    </row>
    <row r="75">
      <c r="A75" s="48" t="n"/>
      <c r="B75" s="34" t="n"/>
      <c r="C75" s="34" t="n"/>
      <c r="D75" s="15">
        <f>IF($C75="","",IFERROR(INDEX(Inventory!$B$4:$B$253,MATCH($C75,Inventory!$A$4:$A$253,0))&amp;" "&amp;INDEX(Inventory!$C$4:$C$253,MATCH($C75,Inventory!$A$4:$A$253,0)),"SKU not in Inventory"))</f>
        <v/>
      </c>
      <c r="E75" s="36" t="n"/>
      <c r="F75" s="35" t="n"/>
      <c r="G75" s="35" t="n"/>
      <c r="H75" s="49">
        <f>IF($C75="","",IFERROR(INDEX(Inventory!$H$4:$H$253,MATCH($C75,Inventory!$A$4:$A$253,0)),0))</f>
        <v/>
      </c>
      <c r="I75" s="34" t="n"/>
      <c r="J75" s="38">
        <f>IF($C75="","",MAX(0,$E75*$F75-$G75))</f>
        <v/>
      </c>
      <c r="K75" s="38">
        <f>IF(OR($C75="",$I75="No"),0,ROUND($J75*IFERROR(INDEX(Shows!$F$4:$F$23,MATCH($B75,Shows!$A$4:$A$23,0)),0),2))</f>
        <v/>
      </c>
      <c r="L75" s="38">
        <f>IF($C75="","",$E75*$H75)</f>
        <v/>
      </c>
      <c r="M75" s="38">
        <f>IF($C75="","",$J75-$L75-$P75)</f>
        <v/>
      </c>
      <c r="N75" s="34" t="n"/>
      <c r="O75" s="34" t="n"/>
      <c r="P75" s="38">
        <f>IF(OR($C75="",$N75&lt;&gt;"Card"),0,ROUND(($J75+$K75)*IFERROR(INDEX(Shows!$G$4:$G$23,MATCH($B75,Shows!$A$4:$A$23,0)),0)+IFERROR(INDEX(Shows!$H$4:$H$23,MATCH($B75,Shows!$A$4:$A$23,0)),0),2))</f>
        <v/>
      </c>
      <c r="Q75" s="38">
        <f>IF($C75="","",$J75+$K75-$P75)</f>
        <v/>
      </c>
      <c r="R75" s="34" t="n"/>
      <c r="S75" s="34" t="n"/>
      <c r="T75" s="34" t="n"/>
    </row>
    <row r="76">
      <c r="A76" s="46" t="n"/>
      <c r="B76" s="40" t="n"/>
      <c r="C76" s="40" t="n"/>
      <c r="D76" s="11">
        <f>IF($C76="","",IFERROR(INDEX(Inventory!$B$4:$B$253,MATCH($C76,Inventory!$A$4:$A$253,0))&amp;" "&amp;INDEX(Inventory!$C$4:$C$253,MATCH($C76,Inventory!$A$4:$A$253,0)),"SKU not in Inventory"))</f>
        <v/>
      </c>
      <c r="E76" s="42" t="n"/>
      <c r="F76" s="41" t="n"/>
      <c r="G76" s="41" t="n"/>
      <c r="H76" s="47">
        <f>IF($C76="","",IFERROR(INDEX(Inventory!$H$4:$H$253,MATCH($C76,Inventory!$A$4:$A$253,0)),0))</f>
        <v/>
      </c>
      <c r="I76" s="40" t="n"/>
      <c r="J76" s="44">
        <f>IF($C76="","",MAX(0,$E76*$F76-$G76))</f>
        <v/>
      </c>
      <c r="K76" s="44">
        <f>IF(OR($C76="",$I76="No"),0,ROUND($J76*IFERROR(INDEX(Shows!$F$4:$F$23,MATCH($B76,Shows!$A$4:$A$23,0)),0),2))</f>
        <v/>
      </c>
      <c r="L76" s="44">
        <f>IF($C76="","",$E76*$H76)</f>
        <v/>
      </c>
      <c r="M76" s="44">
        <f>IF($C76="","",$J76-$L76-$P76)</f>
        <v/>
      </c>
      <c r="N76" s="40" t="n"/>
      <c r="O76" s="40" t="n"/>
      <c r="P76" s="44">
        <f>IF(OR($C76="",$N76&lt;&gt;"Card"),0,ROUND(($J76+$K76)*IFERROR(INDEX(Shows!$G$4:$G$23,MATCH($B76,Shows!$A$4:$A$23,0)),0)+IFERROR(INDEX(Shows!$H$4:$H$23,MATCH($B76,Shows!$A$4:$A$23,0)),0),2))</f>
        <v/>
      </c>
      <c r="Q76" s="44">
        <f>IF($C76="","",$J76+$K76-$P76)</f>
        <v/>
      </c>
      <c r="R76" s="40" t="n"/>
      <c r="S76" s="40" t="n"/>
      <c r="T76" s="40" t="n"/>
    </row>
    <row r="77">
      <c r="A77" s="48" t="n"/>
      <c r="B77" s="34" t="n"/>
      <c r="C77" s="34" t="n"/>
      <c r="D77" s="15">
        <f>IF($C77="","",IFERROR(INDEX(Inventory!$B$4:$B$253,MATCH($C77,Inventory!$A$4:$A$253,0))&amp;" "&amp;INDEX(Inventory!$C$4:$C$253,MATCH($C77,Inventory!$A$4:$A$253,0)),"SKU not in Inventory"))</f>
        <v/>
      </c>
      <c r="E77" s="36" t="n"/>
      <c r="F77" s="35" t="n"/>
      <c r="G77" s="35" t="n"/>
      <c r="H77" s="49">
        <f>IF($C77="","",IFERROR(INDEX(Inventory!$H$4:$H$253,MATCH($C77,Inventory!$A$4:$A$253,0)),0))</f>
        <v/>
      </c>
      <c r="I77" s="34" t="n"/>
      <c r="J77" s="38">
        <f>IF($C77="","",MAX(0,$E77*$F77-$G77))</f>
        <v/>
      </c>
      <c r="K77" s="38">
        <f>IF(OR($C77="",$I77="No"),0,ROUND($J77*IFERROR(INDEX(Shows!$F$4:$F$23,MATCH($B77,Shows!$A$4:$A$23,0)),0),2))</f>
        <v/>
      </c>
      <c r="L77" s="38">
        <f>IF($C77="","",$E77*$H77)</f>
        <v/>
      </c>
      <c r="M77" s="38">
        <f>IF($C77="","",$J77-$L77-$P77)</f>
        <v/>
      </c>
      <c r="N77" s="34" t="n"/>
      <c r="O77" s="34" t="n"/>
      <c r="P77" s="38">
        <f>IF(OR($C77="",$N77&lt;&gt;"Card"),0,ROUND(($J77+$K77)*IFERROR(INDEX(Shows!$G$4:$G$23,MATCH($B77,Shows!$A$4:$A$23,0)),0)+IFERROR(INDEX(Shows!$H$4:$H$23,MATCH($B77,Shows!$A$4:$A$23,0)),0),2))</f>
        <v/>
      </c>
      <c r="Q77" s="38">
        <f>IF($C77="","",$J77+$K77-$P77)</f>
        <v/>
      </c>
      <c r="R77" s="34" t="n"/>
      <c r="S77" s="34" t="n"/>
      <c r="T77" s="34" t="n"/>
    </row>
    <row r="78">
      <c r="A78" s="46" t="n"/>
      <c r="B78" s="40" t="n"/>
      <c r="C78" s="40" t="n"/>
      <c r="D78" s="11">
        <f>IF($C78="","",IFERROR(INDEX(Inventory!$B$4:$B$253,MATCH($C78,Inventory!$A$4:$A$253,0))&amp;" "&amp;INDEX(Inventory!$C$4:$C$253,MATCH($C78,Inventory!$A$4:$A$253,0)),"SKU not in Inventory"))</f>
        <v/>
      </c>
      <c r="E78" s="42" t="n"/>
      <c r="F78" s="41" t="n"/>
      <c r="G78" s="41" t="n"/>
      <c r="H78" s="47">
        <f>IF($C78="","",IFERROR(INDEX(Inventory!$H$4:$H$253,MATCH($C78,Inventory!$A$4:$A$253,0)),0))</f>
        <v/>
      </c>
      <c r="I78" s="40" t="n"/>
      <c r="J78" s="44">
        <f>IF($C78="","",MAX(0,$E78*$F78-$G78))</f>
        <v/>
      </c>
      <c r="K78" s="44">
        <f>IF(OR($C78="",$I78="No"),0,ROUND($J78*IFERROR(INDEX(Shows!$F$4:$F$23,MATCH($B78,Shows!$A$4:$A$23,0)),0),2))</f>
        <v/>
      </c>
      <c r="L78" s="44">
        <f>IF($C78="","",$E78*$H78)</f>
        <v/>
      </c>
      <c r="M78" s="44">
        <f>IF($C78="","",$J78-$L78-$P78)</f>
        <v/>
      </c>
      <c r="N78" s="40" t="n"/>
      <c r="O78" s="40" t="n"/>
      <c r="P78" s="44">
        <f>IF(OR($C78="",$N78&lt;&gt;"Card"),0,ROUND(($J78+$K78)*IFERROR(INDEX(Shows!$G$4:$G$23,MATCH($B78,Shows!$A$4:$A$23,0)),0)+IFERROR(INDEX(Shows!$H$4:$H$23,MATCH($B78,Shows!$A$4:$A$23,0)),0),2))</f>
        <v/>
      </c>
      <c r="Q78" s="44">
        <f>IF($C78="","",$J78+$K78-$P78)</f>
        <v/>
      </c>
      <c r="R78" s="40" t="n"/>
      <c r="S78" s="40" t="n"/>
      <c r="T78" s="40" t="n"/>
    </row>
    <row r="79">
      <c r="A79" s="48" t="n"/>
      <c r="B79" s="34" t="n"/>
      <c r="C79" s="34" t="n"/>
      <c r="D79" s="15">
        <f>IF($C79="","",IFERROR(INDEX(Inventory!$B$4:$B$253,MATCH($C79,Inventory!$A$4:$A$253,0))&amp;" "&amp;INDEX(Inventory!$C$4:$C$253,MATCH($C79,Inventory!$A$4:$A$253,0)),"SKU not in Inventory"))</f>
        <v/>
      </c>
      <c r="E79" s="36" t="n"/>
      <c r="F79" s="35" t="n"/>
      <c r="G79" s="35" t="n"/>
      <c r="H79" s="49">
        <f>IF($C79="","",IFERROR(INDEX(Inventory!$H$4:$H$253,MATCH($C79,Inventory!$A$4:$A$253,0)),0))</f>
        <v/>
      </c>
      <c r="I79" s="34" t="n"/>
      <c r="J79" s="38">
        <f>IF($C79="","",MAX(0,$E79*$F79-$G79))</f>
        <v/>
      </c>
      <c r="K79" s="38">
        <f>IF(OR($C79="",$I79="No"),0,ROUND($J79*IFERROR(INDEX(Shows!$F$4:$F$23,MATCH($B79,Shows!$A$4:$A$23,0)),0),2))</f>
        <v/>
      </c>
      <c r="L79" s="38">
        <f>IF($C79="","",$E79*$H79)</f>
        <v/>
      </c>
      <c r="M79" s="38">
        <f>IF($C79="","",$J79-$L79-$P79)</f>
        <v/>
      </c>
      <c r="N79" s="34" t="n"/>
      <c r="O79" s="34" t="n"/>
      <c r="P79" s="38">
        <f>IF(OR($C79="",$N79&lt;&gt;"Card"),0,ROUND(($J79+$K79)*IFERROR(INDEX(Shows!$G$4:$G$23,MATCH($B79,Shows!$A$4:$A$23,0)),0)+IFERROR(INDEX(Shows!$H$4:$H$23,MATCH($B79,Shows!$A$4:$A$23,0)),0),2))</f>
        <v/>
      </c>
      <c r="Q79" s="38">
        <f>IF($C79="","",$J79+$K79-$P79)</f>
        <v/>
      </c>
      <c r="R79" s="34" t="n"/>
      <c r="S79" s="34" t="n"/>
      <c r="T79" s="34" t="n"/>
    </row>
    <row r="80">
      <c r="A80" s="46" t="n"/>
      <c r="B80" s="40" t="n"/>
      <c r="C80" s="40" t="n"/>
      <c r="D80" s="11">
        <f>IF($C80="","",IFERROR(INDEX(Inventory!$B$4:$B$253,MATCH($C80,Inventory!$A$4:$A$253,0))&amp;" "&amp;INDEX(Inventory!$C$4:$C$253,MATCH($C80,Inventory!$A$4:$A$253,0)),"SKU not in Inventory"))</f>
        <v/>
      </c>
      <c r="E80" s="42" t="n"/>
      <c r="F80" s="41" t="n"/>
      <c r="G80" s="41" t="n"/>
      <c r="H80" s="47">
        <f>IF($C80="","",IFERROR(INDEX(Inventory!$H$4:$H$253,MATCH($C80,Inventory!$A$4:$A$253,0)),0))</f>
        <v/>
      </c>
      <c r="I80" s="40" t="n"/>
      <c r="J80" s="44">
        <f>IF($C80="","",MAX(0,$E80*$F80-$G80))</f>
        <v/>
      </c>
      <c r="K80" s="44">
        <f>IF(OR($C80="",$I80="No"),0,ROUND($J80*IFERROR(INDEX(Shows!$F$4:$F$23,MATCH($B80,Shows!$A$4:$A$23,0)),0),2))</f>
        <v/>
      </c>
      <c r="L80" s="44">
        <f>IF($C80="","",$E80*$H80)</f>
        <v/>
      </c>
      <c r="M80" s="44">
        <f>IF($C80="","",$J80-$L80-$P80)</f>
        <v/>
      </c>
      <c r="N80" s="40" t="n"/>
      <c r="O80" s="40" t="n"/>
      <c r="P80" s="44">
        <f>IF(OR($C80="",$N80&lt;&gt;"Card"),0,ROUND(($J80+$K80)*IFERROR(INDEX(Shows!$G$4:$G$23,MATCH($B80,Shows!$A$4:$A$23,0)),0)+IFERROR(INDEX(Shows!$H$4:$H$23,MATCH($B80,Shows!$A$4:$A$23,0)),0),2))</f>
        <v/>
      </c>
      <c r="Q80" s="44">
        <f>IF($C80="","",$J80+$K80-$P80)</f>
        <v/>
      </c>
      <c r="R80" s="40" t="n"/>
      <c r="S80" s="40" t="n"/>
      <c r="T80" s="40" t="n"/>
    </row>
    <row r="81">
      <c r="A81" s="48" t="n"/>
      <c r="B81" s="34" t="n"/>
      <c r="C81" s="34" t="n"/>
      <c r="D81" s="15">
        <f>IF($C81="","",IFERROR(INDEX(Inventory!$B$4:$B$253,MATCH($C81,Inventory!$A$4:$A$253,0))&amp;" "&amp;INDEX(Inventory!$C$4:$C$253,MATCH($C81,Inventory!$A$4:$A$253,0)),"SKU not in Inventory"))</f>
        <v/>
      </c>
      <c r="E81" s="36" t="n"/>
      <c r="F81" s="35" t="n"/>
      <c r="G81" s="35" t="n"/>
      <c r="H81" s="49">
        <f>IF($C81="","",IFERROR(INDEX(Inventory!$H$4:$H$253,MATCH($C81,Inventory!$A$4:$A$253,0)),0))</f>
        <v/>
      </c>
      <c r="I81" s="34" t="n"/>
      <c r="J81" s="38">
        <f>IF($C81="","",MAX(0,$E81*$F81-$G81))</f>
        <v/>
      </c>
      <c r="K81" s="38">
        <f>IF(OR($C81="",$I81="No"),0,ROUND($J81*IFERROR(INDEX(Shows!$F$4:$F$23,MATCH($B81,Shows!$A$4:$A$23,0)),0),2))</f>
        <v/>
      </c>
      <c r="L81" s="38">
        <f>IF($C81="","",$E81*$H81)</f>
        <v/>
      </c>
      <c r="M81" s="38">
        <f>IF($C81="","",$J81-$L81-$P81)</f>
        <v/>
      </c>
      <c r="N81" s="34" t="n"/>
      <c r="O81" s="34" t="n"/>
      <c r="P81" s="38">
        <f>IF(OR($C81="",$N81&lt;&gt;"Card"),0,ROUND(($J81+$K81)*IFERROR(INDEX(Shows!$G$4:$G$23,MATCH($B81,Shows!$A$4:$A$23,0)),0)+IFERROR(INDEX(Shows!$H$4:$H$23,MATCH($B81,Shows!$A$4:$A$23,0)),0),2))</f>
        <v/>
      </c>
      <c r="Q81" s="38">
        <f>IF($C81="","",$J81+$K81-$P81)</f>
        <v/>
      </c>
      <c r="R81" s="34" t="n"/>
      <c r="S81" s="34" t="n"/>
      <c r="T81" s="34" t="n"/>
    </row>
    <row r="82">
      <c r="A82" s="46" t="n"/>
      <c r="B82" s="40" t="n"/>
      <c r="C82" s="40" t="n"/>
      <c r="D82" s="11">
        <f>IF($C82="","",IFERROR(INDEX(Inventory!$B$4:$B$253,MATCH($C82,Inventory!$A$4:$A$253,0))&amp;" "&amp;INDEX(Inventory!$C$4:$C$253,MATCH($C82,Inventory!$A$4:$A$253,0)),"SKU not in Inventory"))</f>
        <v/>
      </c>
      <c r="E82" s="42" t="n"/>
      <c r="F82" s="41" t="n"/>
      <c r="G82" s="41" t="n"/>
      <c r="H82" s="47">
        <f>IF($C82="","",IFERROR(INDEX(Inventory!$H$4:$H$253,MATCH($C82,Inventory!$A$4:$A$253,0)),0))</f>
        <v/>
      </c>
      <c r="I82" s="40" t="n"/>
      <c r="J82" s="44">
        <f>IF($C82="","",MAX(0,$E82*$F82-$G82))</f>
        <v/>
      </c>
      <c r="K82" s="44">
        <f>IF(OR($C82="",$I82="No"),0,ROUND($J82*IFERROR(INDEX(Shows!$F$4:$F$23,MATCH($B82,Shows!$A$4:$A$23,0)),0),2))</f>
        <v/>
      </c>
      <c r="L82" s="44">
        <f>IF($C82="","",$E82*$H82)</f>
        <v/>
      </c>
      <c r="M82" s="44">
        <f>IF($C82="","",$J82-$L82-$P82)</f>
        <v/>
      </c>
      <c r="N82" s="40" t="n"/>
      <c r="O82" s="40" t="n"/>
      <c r="P82" s="44">
        <f>IF(OR($C82="",$N82&lt;&gt;"Card"),0,ROUND(($J82+$K82)*IFERROR(INDEX(Shows!$G$4:$G$23,MATCH($B82,Shows!$A$4:$A$23,0)),0)+IFERROR(INDEX(Shows!$H$4:$H$23,MATCH($B82,Shows!$A$4:$A$23,0)),0),2))</f>
        <v/>
      </c>
      <c r="Q82" s="44">
        <f>IF($C82="","",$J82+$K82-$P82)</f>
        <v/>
      </c>
      <c r="R82" s="40" t="n"/>
      <c r="S82" s="40" t="n"/>
      <c r="T82" s="40" t="n"/>
    </row>
    <row r="83">
      <c r="A83" s="48" t="n"/>
      <c r="B83" s="34" t="n"/>
      <c r="C83" s="34" t="n"/>
      <c r="D83" s="15">
        <f>IF($C83="","",IFERROR(INDEX(Inventory!$B$4:$B$253,MATCH($C83,Inventory!$A$4:$A$253,0))&amp;" "&amp;INDEX(Inventory!$C$4:$C$253,MATCH($C83,Inventory!$A$4:$A$253,0)),"SKU not in Inventory"))</f>
        <v/>
      </c>
      <c r="E83" s="36" t="n"/>
      <c r="F83" s="35" t="n"/>
      <c r="G83" s="35" t="n"/>
      <c r="H83" s="49">
        <f>IF($C83="","",IFERROR(INDEX(Inventory!$H$4:$H$253,MATCH($C83,Inventory!$A$4:$A$253,0)),0))</f>
        <v/>
      </c>
      <c r="I83" s="34" t="n"/>
      <c r="J83" s="38">
        <f>IF($C83="","",MAX(0,$E83*$F83-$G83))</f>
        <v/>
      </c>
      <c r="K83" s="38">
        <f>IF(OR($C83="",$I83="No"),0,ROUND($J83*IFERROR(INDEX(Shows!$F$4:$F$23,MATCH($B83,Shows!$A$4:$A$23,0)),0),2))</f>
        <v/>
      </c>
      <c r="L83" s="38">
        <f>IF($C83="","",$E83*$H83)</f>
        <v/>
      </c>
      <c r="M83" s="38">
        <f>IF($C83="","",$J83-$L83-$P83)</f>
        <v/>
      </c>
      <c r="N83" s="34" t="n"/>
      <c r="O83" s="34" t="n"/>
      <c r="P83" s="38">
        <f>IF(OR($C83="",$N83&lt;&gt;"Card"),0,ROUND(($J83+$K83)*IFERROR(INDEX(Shows!$G$4:$G$23,MATCH($B83,Shows!$A$4:$A$23,0)),0)+IFERROR(INDEX(Shows!$H$4:$H$23,MATCH($B83,Shows!$A$4:$A$23,0)),0),2))</f>
        <v/>
      </c>
      <c r="Q83" s="38">
        <f>IF($C83="","",$J83+$K83-$P83)</f>
        <v/>
      </c>
      <c r="R83" s="34" t="n"/>
      <c r="S83" s="34" t="n"/>
      <c r="T83" s="34" t="n"/>
    </row>
    <row r="84">
      <c r="A84" s="46" t="n"/>
      <c r="B84" s="40" t="n"/>
      <c r="C84" s="40" t="n"/>
      <c r="D84" s="11">
        <f>IF($C84="","",IFERROR(INDEX(Inventory!$B$4:$B$253,MATCH($C84,Inventory!$A$4:$A$253,0))&amp;" "&amp;INDEX(Inventory!$C$4:$C$253,MATCH($C84,Inventory!$A$4:$A$253,0)),"SKU not in Inventory"))</f>
        <v/>
      </c>
      <c r="E84" s="42" t="n"/>
      <c r="F84" s="41" t="n"/>
      <c r="G84" s="41" t="n"/>
      <c r="H84" s="47">
        <f>IF($C84="","",IFERROR(INDEX(Inventory!$H$4:$H$253,MATCH($C84,Inventory!$A$4:$A$253,0)),0))</f>
        <v/>
      </c>
      <c r="I84" s="40" t="n"/>
      <c r="J84" s="44">
        <f>IF($C84="","",MAX(0,$E84*$F84-$G84))</f>
        <v/>
      </c>
      <c r="K84" s="44">
        <f>IF(OR($C84="",$I84="No"),0,ROUND($J84*IFERROR(INDEX(Shows!$F$4:$F$23,MATCH($B84,Shows!$A$4:$A$23,0)),0),2))</f>
        <v/>
      </c>
      <c r="L84" s="44">
        <f>IF($C84="","",$E84*$H84)</f>
        <v/>
      </c>
      <c r="M84" s="44">
        <f>IF($C84="","",$J84-$L84-$P84)</f>
        <v/>
      </c>
      <c r="N84" s="40" t="n"/>
      <c r="O84" s="40" t="n"/>
      <c r="P84" s="44">
        <f>IF(OR($C84="",$N84&lt;&gt;"Card"),0,ROUND(($J84+$K84)*IFERROR(INDEX(Shows!$G$4:$G$23,MATCH($B84,Shows!$A$4:$A$23,0)),0)+IFERROR(INDEX(Shows!$H$4:$H$23,MATCH($B84,Shows!$A$4:$A$23,0)),0),2))</f>
        <v/>
      </c>
      <c r="Q84" s="44">
        <f>IF($C84="","",$J84+$K84-$P84)</f>
        <v/>
      </c>
      <c r="R84" s="40" t="n"/>
      <c r="S84" s="40" t="n"/>
      <c r="T84" s="40" t="n"/>
    </row>
    <row r="85">
      <c r="A85" s="48" t="n"/>
      <c r="B85" s="34" t="n"/>
      <c r="C85" s="34" t="n"/>
      <c r="D85" s="15">
        <f>IF($C85="","",IFERROR(INDEX(Inventory!$B$4:$B$253,MATCH($C85,Inventory!$A$4:$A$253,0))&amp;" "&amp;INDEX(Inventory!$C$4:$C$253,MATCH($C85,Inventory!$A$4:$A$253,0)),"SKU not in Inventory"))</f>
        <v/>
      </c>
      <c r="E85" s="36" t="n"/>
      <c r="F85" s="35" t="n"/>
      <c r="G85" s="35" t="n"/>
      <c r="H85" s="49">
        <f>IF($C85="","",IFERROR(INDEX(Inventory!$H$4:$H$253,MATCH($C85,Inventory!$A$4:$A$253,0)),0))</f>
        <v/>
      </c>
      <c r="I85" s="34" t="n"/>
      <c r="J85" s="38">
        <f>IF($C85="","",MAX(0,$E85*$F85-$G85))</f>
        <v/>
      </c>
      <c r="K85" s="38">
        <f>IF(OR($C85="",$I85="No"),0,ROUND($J85*IFERROR(INDEX(Shows!$F$4:$F$23,MATCH($B85,Shows!$A$4:$A$23,0)),0),2))</f>
        <v/>
      </c>
      <c r="L85" s="38">
        <f>IF($C85="","",$E85*$H85)</f>
        <v/>
      </c>
      <c r="M85" s="38">
        <f>IF($C85="","",$J85-$L85-$P85)</f>
        <v/>
      </c>
      <c r="N85" s="34" t="n"/>
      <c r="O85" s="34" t="n"/>
      <c r="P85" s="38">
        <f>IF(OR($C85="",$N85&lt;&gt;"Card"),0,ROUND(($J85+$K85)*IFERROR(INDEX(Shows!$G$4:$G$23,MATCH($B85,Shows!$A$4:$A$23,0)),0)+IFERROR(INDEX(Shows!$H$4:$H$23,MATCH($B85,Shows!$A$4:$A$23,0)),0),2))</f>
        <v/>
      </c>
      <c r="Q85" s="38">
        <f>IF($C85="","",$J85+$K85-$P85)</f>
        <v/>
      </c>
      <c r="R85" s="34" t="n"/>
      <c r="S85" s="34" t="n"/>
      <c r="T85" s="34" t="n"/>
    </row>
    <row r="86">
      <c r="A86" s="46" t="n"/>
      <c r="B86" s="40" t="n"/>
      <c r="C86" s="40" t="n"/>
      <c r="D86" s="11">
        <f>IF($C86="","",IFERROR(INDEX(Inventory!$B$4:$B$253,MATCH($C86,Inventory!$A$4:$A$253,0))&amp;" "&amp;INDEX(Inventory!$C$4:$C$253,MATCH($C86,Inventory!$A$4:$A$253,0)),"SKU not in Inventory"))</f>
        <v/>
      </c>
      <c r="E86" s="42" t="n"/>
      <c r="F86" s="41" t="n"/>
      <c r="G86" s="41" t="n"/>
      <c r="H86" s="47">
        <f>IF($C86="","",IFERROR(INDEX(Inventory!$H$4:$H$253,MATCH($C86,Inventory!$A$4:$A$253,0)),0))</f>
        <v/>
      </c>
      <c r="I86" s="40" t="n"/>
      <c r="J86" s="44">
        <f>IF($C86="","",MAX(0,$E86*$F86-$G86))</f>
        <v/>
      </c>
      <c r="K86" s="44">
        <f>IF(OR($C86="",$I86="No"),0,ROUND($J86*IFERROR(INDEX(Shows!$F$4:$F$23,MATCH($B86,Shows!$A$4:$A$23,0)),0),2))</f>
        <v/>
      </c>
      <c r="L86" s="44">
        <f>IF($C86="","",$E86*$H86)</f>
        <v/>
      </c>
      <c r="M86" s="44">
        <f>IF($C86="","",$J86-$L86-$P86)</f>
        <v/>
      </c>
      <c r="N86" s="40" t="n"/>
      <c r="O86" s="40" t="n"/>
      <c r="P86" s="44">
        <f>IF(OR($C86="",$N86&lt;&gt;"Card"),0,ROUND(($J86+$K86)*IFERROR(INDEX(Shows!$G$4:$G$23,MATCH($B86,Shows!$A$4:$A$23,0)),0)+IFERROR(INDEX(Shows!$H$4:$H$23,MATCH($B86,Shows!$A$4:$A$23,0)),0),2))</f>
        <v/>
      </c>
      <c r="Q86" s="44">
        <f>IF($C86="","",$J86+$K86-$P86)</f>
        <v/>
      </c>
      <c r="R86" s="40" t="n"/>
      <c r="S86" s="40" t="n"/>
      <c r="T86" s="40" t="n"/>
    </row>
    <row r="87">
      <c r="A87" s="48" t="n"/>
      <c r="B87" s="34" t="n"/>
      <c r="C87" s="34" t="n"/>
      <c r="D87" s="15">
        <f>IF($C87="","",IFERROR(INDEX(Inventory!$B$4:$B$253,MATCH($C87,Inventory!$A$4:$A$253,0))&amp;" "&amp;INDEX(Inventory!$C$4:$C$253,MATCH($C87,Inventory!$A$4:$A$253,0)),"SKU not in Inventory"))</f>
        <v/>
      </c>
      <c r="E87" s="36" t="n"/>
      <c r="F87" s="35" t="n"/>
      <c r="G87" s="35" t="n"/>
      <c r="H87" s="49">
        <f>IF($C87="","",IFERROR(INDEX(Inventory!$H$4:$H$253,MATCH($C87,Inventory!$A$4:$A$253,0)),0))</f>
        <v/>
      </c>
      <c r="I87" s="34" t="n"/>
      <c r="J87" s="38">
        <f>IF($C87="","",MAX(0,$E87*$F87-$G87))</f>
        <v/>
      </c>
      <c r="K87" s="38">
        <f>IF(OR($C87="",$I87="No"),0,ROUND($J87*IFERROR(INDEX(Shows!$F$4:$F$23,MATCH($B87,Shows!$A$4:$A$23,0)),0),2))</f>
        <v/>
      </c>
      <c r="L87" s="38">
        <f>IF($C87="","",$E87*$H87)</f>
        <v/>
      </c>
      <c r="M87" s="38">
        <f>IF($C87="","",$J87-$L87-$P87)</f>
        <v/>
      </c>
      <c r="N87" s="34" t="n"/>
      <c r="O87" s="34" t="n"/>
      <c r="P87" s="38">
        <f>IF(OR($C87="",$N87&lt;&gt;"Card"),0,ROUND(($J87+$K87)*IFERROR(INDEX(Shows!$G$4:$G$23,MATCH($B87,Shows!$A$4:$A$23,0)),0)+IFERROR(INDEX(Shows!$H$4:$H$23,MATCH($B87,Shows!$A$4:$A$23,0)),0),2))</f>
        <v/>
      </c>
      <c r="Q87" s="38">
        <f>IF($C87="","",$J87+$K87-$P87)</f>
        <v/>
      </c>
      <c r="R87" s="34" t="n"/>
      <c r="S87" s="34" t="n"/>
      <c r="T87" s="34" t="n"/>
    </row>
    <row r="88">
      <c r="A88" s="46" t="n"/>
      <c r="B88" s="40" t="n"/>
      <c r="C88" s="40" t="n"/>
      <c r="D88" s="11">
        <f>IF($C88="","",IFERROR(INDEX(Inventory!$B$4:$B$253,MATCH($C88,Inventory!$A$4:$A$253,0))&amp;" "&amp;INDEX(Inventory!$C$4:$C$253,MATCH($C88,Inventory!$A$4:$A$253,0)),"SKU not in Inventory"))</f>
        <v/>
      </c>
      <c r="E88" s="42" t="n"/>
      <c r="F88" s="41" t="n"/>
      <c r="G88" s="41" t="n"/>
      <c r="H88" s="47">
        <f>IF($C88="","",IFERROR(INDEX(Inventory!$H$4:$H$253,MATCH($C88,Inventory!$A$4:$A$253,0)),0))</f>
        <v/>
      </c>
      <c r="I88" s="40" t="n"/>
      <c r="J88" s="44">
        <f>IF($C88="","",MAX(0,$E88*$F88-$G88))</f>
        <v/>
      </c>
      <c r="K88" s="44">
        <f>IF(OR($C88="",$I88="No"),0,ROUND($J88*IFERROR(INDEX(Shows!$F$4:$F$23,MATCH($B88,Shows!$A$4:$A$23,0)),0),2))</f>
        <v/>
      </c>
      <c r="L88" s="44">
        <f>IF($C88="","",$E88*$H88)</f>
        <v/>
      </c>
      <c r="M88" s="44">
        <f>IF($C88="","",$J88-$L88-$P88)</f>
        <v/>
      </c>
      <c r="N88" s="40" t="n"/>
      <c r="O88" s="40" t="n"/>
      <c r="P88" s="44">
        <f>IF(OR($C88="",$N88&lt;&gt;"Card"),0,ROUND(($J88+$K88)*IFERROR(INDEX(Shows!$G$4:$G$23,MATCH($B88,Shows!$A$4:$A$23,0)),0)+IFERROR(INDEX(Shows!$H$4:$H$23,MATCH($B88,Shows!$A$4:$A$23,0)),0),2))</f>
        <v/>
      </c>
      <c r="Q88" s="44">
        <f>IF($C88="","",$J88+$K88-$P88)</f>
        <v/>
      </c>
      <c r="R88" s="40" t="n"/>
      <c r="S88" s="40" t="n"/>
      <c r="T88" s="40" t="n"/>
    </row>
    <row r="89">
      <c r="A89" s="48" t="n"/>
      <c r="B89" s="34" t="n"/>
      <c r="C89" s="34" t="n"/>
      <c r="D89" s="15">
        <f>IF($C89="","",IFERROR(INDEX(Inventory!$B$4:$B$253,MATCH($C89,Inventory!$A$4:$A$253,0))&amp;" "&amp;INDEX(Inventory!$C$4:$C$253,MATCH($C89,Inventory!$A$4:$A$253,0)),"SKU not in Inventory"))</f>
        <v/>
      </c>
      <c r="E89" s="36" t="n"/>
      <c r="F89" s="35" t="n"/>
      <c r="G89" s="35" t="n"/>
      <c r="H89" s="49">
        <f>IF($C89="","",IFERROR(INDEX(Inventory!$H$4:$H$253,MATCH($C89,Inventory!$A$4:$A$253,0)),0))</f>
        <v/>
      </c>
      <c r="I89" s="34" t="n"/>
      <c r="J89" s="38">
        <f>IF($C89="","",MAX(0,$E89*$F89-$G89))</f>
        <v/>
      </c>
      <c r="K89" s="38">
        <f>IF(OR($C89="",$I89="No"),0,ROUND($J89*IFERROR(INDEX(Shows!$F$4:$F$23,MATCH($B89,Shows!$A$4:$A$23,0)),0),2))</f>
        <v/>
      </c>
      <c r="L89" s="38">
        <f>IF($C89="","",$E89*$H89)</f>
        <v/>
      </c>
      <c r="M89" s="38">
        <f>IF($C89="","",$J89-$L89-$P89)</f>
        <v/>
      </c>
      <c r="N89" s="34" t="n"/>
      <c r="O89" s="34" t="n"/>
      <c r="P89" s="38">
        <f>IF(OR($C89="",$N89&lt;&gt;"Card"),0,ROUND(($J89+$K89)*IFERROR(INDEX(Shows!$G$4:$G$23,MATCH($B89,Shows!$A$4:$A$23,0)),0)+IFERROR(INDEX(Shows!$H$4:$H$23,MATCH($B89,Shows!$A$4:$A$23,0)),0),2))</f>
        <v/>
      </c>
      <c r="Q89" s="38">
        <f>IF($C89="","",$J89+$K89-$P89)</f>
        <v/>
      </c>
      <c r="R89" s="34" t="n"/>
      <c r="S89" s="34" t="n"/>
      <c r="T89" s="34" t="n"/>
    </row>
    <row r="90">
      <c r="A90" s="46" t="n"/>
      <c r="B90" s="40" t="n"/>
      <c r="C90" s="40" t="n"/>
      <c r="D90" s="11">
        <f>IF($C90="","",IFERROR(INDEX(Inventory!$B$4:$B$253,MATCH($C90,Inventory!$A$4:$A$253,0))&amp;" "&amp;INDEX(Inventory!$C$4:$C$253,MATCH($C90,Inventory!$A$4:$A$253,0)),"SKU not in Inventory"))</f>
        <v/>
      </c>
      <c r="E90" s="42" t="n"/>
      <c r="F90" s="41" t="n"/>
      <c r="G90" s="41" t="n"/>
      <c r="H90" s="47">
        <f>IF($C90="","",IFERROR(INDEX(Inventory!$H$4:$H$253,MATCH($C90,Inventory!$A$4:$A$253,0)),0))</f>
        <v/>
      </c>
      <c r="I90" s="40" t="n"/>
      <c r="J90" s="44">
        <f>IF($C90="","",MAX(0,$E90*$F90-$G90))</f>
        <v/>
      </c>
      <c r="K90" s="44">
        <f>IF(OR($C90="",$I90="No"),0,ROUND($J90*IFERROR(INDEX(Shows!$F$4:$F$23,MATCH($B90,Shows!$A$4:$A$23,0)),0),2))</f>
        <v/>
      </c>
      <c r="L90" s="44">
        <f>IF($C90="","",$E90*$H90)</f>
        <v/>
      </c>
      <c r="M90" s="44">
        <f>IF($C90="","",$J90-$L90-$P90)</f>
        <v/>
      </c>
      <c r="N90" s="40" t="n"/>
      <c r="O90" s="40" t="n"/>
      <c r="P90" s="44">
        <f>IF(OR($C90="",$N90&lt;&gt;"Card"),0,ROUND(($J90+$K90)*IFERROR(INDEX(Shows!$G$4:$G$23,MATCH($B90,Shows!$A$4:$A$23,0)),0)+IFERROR(INDEX(Shows!$H$4:$H$23,MATCH($B90,Shows!$A$4:$A$23,0)),0),2))</f>
        <v/>
      </c>
      <c r="Q90" s="44">
        <f>IF($C90="","",$J90+$K90-$P90)</f>
        <v/>
      </c>
      <c r="R90" s="40" t="n"/>
      <c r="S90" s="40" t="n"/>
      <c r="T90" s="40" t="n"/>
    </row>
    <row r="91">
      <c r="A91" s="48" t="n"/>
      <c r="B91" s="34" t="n"/>
      <c r="C91" s="34" t="n"/>
      <c r="D91" s="15">
        <f>IF($C91="","",IFERROR(INDEX(Inventory!$B$4:$B$253,MATCH($C91,Inventory!$A$4:$A$253,0))&amp;" "&amp;INDEX(Inventory!$C$4:$C$253,MATCH($C91,Inventory!$A$4:$A$253,0)),"SKU not in Inventory"))</f>
        <v/>
      </c>
      <c r="E91" s="36" t="n"/>
      <c r="F91" s="35" t="n"/>
      <c r="G91" s="35" t="n"/>
      <c r="H91" s="49">
        <f>IF($C91="","",IFERROR(INDEX(Inventory!$H$4:$H$253,MATCH($C91,Inventory!$A$4:$A$253,0)),0))</f>
        <v/>
      </c>
      <c r="I91" s="34" t="n"/>
      <c r="J91" s="38">
        <f>IF($C91="","",MAX(0,$E91*$F91-$G91))</f>
        <v/>
      </c>
      <c r="K91" s="38">
        <f>IF(OR($C91="",$I91="No"),0,ROUND($J91*IFERROR(INDEX(Shows!$F$4:$F$23,MATCH($B91,Shows!$A$4:$A$23,0)),0),2))</f>
        <v/>
      </c>
      <c r="L91" s="38">
        <f>IF($C91="","",$E91*$H91)</f>
        <v/>
      </c>
      <c r="M91" s="38">
        <f>IF($C91="","",$J91-$L91-$P91)</f>
        <v/>
      </c>
      <c r="N91" s="34" t="n"/>
      <c r="O91" s="34" t="n"/>
      <c r="P91" s="38">
        <f>IF(OR($C91="",$N91&lt;&gt;"Card"),0,ROUND(($J91+$K91)*IFERROR(INDEX(Shows!$G$4:$G$23,MATCH($B91,Shows!$A$4:$A$23,0)),0)+IFERROR(INDEX(Shows!$H$4:$H$23,MATCH($B91,Shows!$A$4:$A$23,0)),0),2))</f>
        <v/>
      </c>
      <c r="Q91" s="38">
        <f>IF($C91="","",$J91+$K91-$P91)</f>
        <v/>
      </c>
      <c r="R91" s="34" t="n"/>
      <c r="S91" s="34" t="n"/>
      <c r="T91" s="34" t="n"/>
    </row>
    <row r="92">
      <c r="A92" s="46" t="n"/>
      <c r="B92" s="40" t="n"/>
      <c r="C92" s="40" t="n"/>
      <c r="D92" s="11">
        <f>IF($C92="","",IFERROR(INDEX(Inventory!$B$4:$B$253,MATCH($C92,Inventory!$A$4:$A$253,0))&amp;" "&amp;INDEX(Inventory!$C$4:$C$253,MATCH($C92,Inventory!$A$4:$A$253,0)),"SKU not in Inventory"))</f>
        <v/>
      </c>
      <c r="E92" s="42" t="n"/>
      <c r="F92" s="41" t="n"/>
      <c r="G92" s="41" t="n"/>
      <c r="H92" s="47">
        <f>IF($C92="","",IFERROR(INDEX(Inventory!$H$4:$H$253,MATCH($C92,Inventory!$A$4:$A$253,0)),0))</f>
        <v/>
      </c>
      <c r="I92" s="40" t="n"/>
      <c r="J92" s="44">
        <f>IF($C92="","",MAX(0,$E92*$F92-$G92))</f>
        <v/>
      </c>
      <c r="K92" s="44">
        <f>IF(OR($C92="",$I92="No"),0,ROUND($J92*IFERROR(INDEX(Shows!$F$4:$F$23,MATCH($B92,Shows!$A$4:$A$23,0)),0),2))</f>
        <v/>
      </c>
      <c r="L92" s="44">
        <f>IF($C92="","",$E92*$H92)</f>
        <v/>
      </c>
      <c r="M92" s="44">
        <f>IF($C92="","",$J92-$L92-$P92)</f>
        <v/>
      </c>
      <c r="N92" s="40" t="n"/>
      <c r="O92" s="40" t="n"/>
      <c r="P92" s="44">
        <f>IF(OR($C92="",$N92&lt;&gt;"Card"),0,ROUND(($J92+$K92)*IFERROR(INDEX(Shows!$G$4:$G$23,MATCH($B92,Shows!$A$4:$A$23,0)),0)+IFERROR(INDEX(Shows!$H$4:$H$23,MATCH($B92,Shows!$A$4:$A$23,0)),0),2))</f>
        <v/>
      </c>
      <c r="Q92" s="44">
        <f>IF($C92="","",$J92+$K92-$P92)</f>
        <v/>
      </c>
      <c r="R92" s="40" t="n"/>
      <c r="S92" s="40" t="n"/>
      <c r="T92" s="40" t="n"/>
    </row>
    <row r="93">
      <c r="A93" s="48" t="n"/>
      <c r="B93" s="34" t="n"/>
      <c r="C93" s="34" t="n"/>
      <c r="D93" s="15">
        <f>IF($C93="","",IFERROR(INDEX(Inventory!$B$4:$B$253,MATCH($C93,Inventory!$A$4:$A$253,0))&amp;" "&amp;INDEX(Inventory!$C$4:$C$253,MATCH($C93,Inventory!$A$4:$A$253,0)),"SKU not in Inventory"))</f>
        <v/>
      </c>
      <c r="E93" s="36" t="n"/>
      <c r="F93" s="35" t="n"/>
      <c r="G93" s="35" t="n"/>
      <c r="H93" s="49">
        <f>IF($C93="","",IFERROR(INDEX(Inventory!$H$4:$H$253,MATCH($C93,Inventory!$A$4:$A$253,0)),0))</f>
        <v/>
      </c>
      <c r="I93" s="34" t="n"/>
      <c r="J93" s="38">
        <f>IF($C93="","",MAX(0,$E93*$F93-$G93))</f>
        <v/>
      </c>
      <c r="K93" s="38">
        <f>IF(OR($C93="",$I93="No"),0,ROUND($J93*IFERROR(INDEX(Shows!$F$4:$F$23,MATCH($B93,Shows!$A$4:$A$23,0)),0),2))</f>
        <v/>
      </c>
      <c r="L93" s="38">
        <f>IF($C93="","",$E93*$H93)</f>
        <v/>
      </c>
      <c r="M93" s="38">
        <f>IF($C93="","",$J93-$L93-$P93)</f>
        <v/>
      </c>
      <c r="N93" s="34" t="n"/>
      <c r="O93" s="34" t="n"/>
      <c r="P93" s="38">
        <f>IF(OR($C93="",$N93&lt;&gt;"Card"),0,ROUND(($J93+$K93)*IFERROR(INDEX(Shows!$G$4:$G$23,MATCH($B93,Shows!$A$4:$A$23,0)),0)+IFERROR(INDEX(Shows!$H$4:$H$23,MATCH($B93,Shows!$A$4:$A$23,0)),0),2))</f>
        <v/>
      </c>
      <c r="Q93" s="38">
        <f>IF($C93="","",$J93+$K93-$P93)</f>
        <v/>
      </c>
      <c r="R93" s="34" t="n"/>
      <c r="S93" s="34" t="n"/>
      <c r="T93" s="34" t="n"/>
    </row>
    <row r="94">
      <c r="A94" s="46" t="n"/>
      <c r="B94" s="40" t="n"/>
      <c r="C94" s="40" t="n"/>
      <c r="D94" s="11">
        <f>IF($C94="","",IFERROR(INDEX(Inventory!$B$4:$B$253,MATCH($C94,Inventory!$A$4:$A$253,0))&amp;" "&amp;INDEX(Inventory!$C$4:$C$253,MATCH($C94,Inventory!$A$4:$A$253,0)),"SKU not in Inventory"))</f>
        <v/>
      </c>
      <c r="E94" s="42" t="n"/>
      <c r="F94" s="41" t="n"/>
      <c r="G94" s="41" t="n"/>
      <c r="H94" s="47">
        <f>IF($C94="","",IFERROR(INDEX(Inventory!$H$4:$H$253,MATCH($C94,Inventory!$A$4:$A$253,0)),0))</f>
        <v/>
      </c>
      <c r="I94" s="40" t="n"/>
      <c r="J94" s="44">
        <f>IF($C94="","",MAX(0,$E94*$F94-$G94))</f>
        <v/>
      </c>
      <c r="K94" s="44">
        <f>IF(OR($C94="",$I94="No"),0,ROUND($J94*IFERROR(INDEX(Shows!$F$4:$F$23,MATCH($B94,Shows!$A$4:$A$23,0)),0),2))</f>
        <v/>
      </c>
      <c r="L94" s="44">
        <f>IF($C94="","",$E94*$H94)</f>
        <v/>
      </c>
      <c r="M94" s="44">
        <f>IF($C94="","",$J94-$L94-$P94)</f>
        <v/>
      </c>
      <c r="N94" s="40" t="n"/>
      <c r="O94" s="40" t="n"/>
      <c r="P94" s="44">
        <f>IF(OR($C94="",$N94&lt;&gt;"Card"),0,ROUND(($J94+$K94)*IFERROR(INDEX(Shows!$G$4:$G$23,MATCH($B94,Shows!$A$4:$A$23,0)),0)+IFERROR(INDEX(Shows!$H$4:$H$23,MATCH($B94,Shows!$A$4:$A$23,0)),0),2))</f>
        <v/>
      </c>
      <c r="Q94" s="44">
        <f>IF($C94="","",$J94+$K94-$P94)</f>
        <v/>
      </c>
      <c r="R94" s="40" t="n"/>
      <c r="S94" s="40" t="n"/>
      <c r="T94" s="40" t="n"/>
    </row>
    <row r="95">
      <c r="A95" s="48" t="n"/>
      <c r="B95" s="34" t="n"/>
      <c r="C95" s="34" t="n"/>
      <c r="D95" s="15">
        <f>IF($C95="","",IFERROR(INDEX(Inventory!$B$4:$B$253,MATCH($C95,Inventory!$A$4:$A$253,0))&amp;" "&amp;INDEX(Inventory!$C$4:$C$253,MATCH($C95,Inventory!$A$4:$A$253,0)),"SKU not in Inventory"))</f>
        <v/>
      </c>
      <c r="E95" s="36" t="n"/>
      <c r="F95" s="35" t="n"/>
      <c r="G95" s="35" t="n"/>
      <c r="H95" s="49">
        <f>IF($C95="","",IFERROR(INDEX(Inventory!$H$4:$H$253,MATCH($C95,Inventory!$A$4:$A$253,0)),0))</f>
        <v/>
      </c>
      <c r="I95" s="34" t="n"/>
      <c r="J95" s="38">
        <f>IF($C95="","",MAX(0,$E95*$F95-$G95))</f>
        <v/>
      </c>
      <c r="K95" s="38">
        <f>IF(OR($C95="",$I95="No"),0,ROUND($J95*IFERROR(INDEX(Shows!$F$4:$F$23,MATCH($B95,Shows!$A$4:$A$23,0)),0),2))</f>
        <v/>
      </c>
      <c r="L95" s="38">
        <f>IF($C95="","",$E95*$H95)</f>
        <v/>
      </c>
      <c r="M95" s="38">
        <f>IF($C95="","",$J95-$L95-$P95)</f>
        <v/>
      </c>
      <c r="N95" s="34" t="n"/>
      <c r="O95" s="34" t="n"/>
      <c r="P95" s="38">
        <f>IF(OR($C95="",$N95&lt;&gt;"Card"),0,ROUND(($J95+$K95)*IFERROR(INDEX(Shows!$G$4:$G$23,MATCH($B95,Shows!$A$4:$A$23,0)),0)+IFERROR(INDEX(Shows!$H$4:$H$23,MATCH($B95,Shows!$A$4:$A$23,0)),0),2))</f>
        <v/>
      </c>
      <c r="Q95" s="38">
        <f>IF($C95="","",$J95+$K95-$P95)</f>
        <v/>
      </c>
      <c r="R95" s="34" t="n"/>
      <c r="S95" s="34" t="n"/>
      <c r="T95" s="34" t="n"/>
    </row>
    <row r="96">
      <c r="A96" s="46" t="n"/>
      <c r="B96" s="40" t="n"/>
      <c r="C96" s="40" t="n"/>
      <c r="D96" s="11">
        <f>IF($C96="","",IFERROR(INDEX(Inventory!$B$4:$B$253,MATCH($C96,Inventory!$A$4:$A$253,0))&amp;" "&amp;INDEX(Inventory!$C$4:$C$253,MATCH($C96,Inventory!$A$4:$A$253,0)),"SKU not in Inventory"))</f>
        <v/>
      </c>
      <c r="E96" s="42" t="n"/>
      <c r="F96" s="41" t="n"/>
      <c r="G96" s="41" t="n"/>
      <c r="H96" s="47">
        <f>IF($C96="","",IFERROR(INDEX(Inventory!$H$4:$H$253,MATCH($C96,Inventory!$A$4:$A$253,0)),0))</f>
        <v/>
      </c>
      <c r="I96" s="40" t="n"/>
      <c r="J96" s="44">
        <f>IF($C96="","",MAX(0,$E96*$F96-$G96))</f>
        <v/>
      </c>
      <c r="K96" s="44">
        <f>IF(OR($C96="",$I96="No"),0,ROUND($J96*IFERROR(INDEX(Shows!$F$4:$F$23,MATCH($B96,Shows!$A$4:$A$23,0)),0),2))</f>
        <v/>
      </c>
      <c r="L96" s="44">
        <f>IF($C96="","",$E96*$H96)</f>
        <v/>
      </c>
      <c r="M96" s="44">
        <f>IF($C96="","",$J96-$L96-$P96)</f>
        <v/>
      </c>
      <c r="N96" s="40" t="n"/>
      <c r="O96" s="40" t="n"/>
      <c r="P96" s="44">
        <f>IF(OR($C96="",$N96&lt;&gt;"Card"),0,ROUND(($J96+$K96)*IFERROR(INDEX(Shows!$G$4:$G$23,MATCH($B96,Shows!$A$4:$A$23,0)),0)+IFERROR(INDEX(Shows!$H$4:$H$23,MATCH($B96,Shows!$A$4:$A$23,0)),0),2))</f>
        <v/>
      </c>
      <c r="Q96" s="44">
        <f>IF($C96="","",$J96+$K96-$P96)</f>
        <v/>
      </c>
      <c r="R96" s="40" t="n"/>
      <c r="S96" s="40" t="n"/>
      <c r="T96" s="40" t="n"/>
    </row>
    <row r="97">
      <c r="A97" s="48" t="n"/>
      <c r="B97" s="34" t="n"/>
      <c r="C97" s="34" t="n"/>
      <c r="D97" s="15">
        <f>IF($C97="","",IFERROR(INDEX(Inventory!$B$4:$B$253,MATCH($C97,Inventory!$A$4:$A$253,0))&amp;" "&amp;INDEX(Inventory!$C$4:$C$253,MATCH($C97,Inventory!$A$4:$A$253,0)),"SKU not in Inventory"))</f>
        <v/>
      </c>
      <c r="E97" s="36" t="n"/>
      <c r="F97" s="35" t="n"/>
      <c r="G97" s="35" t="n"/>
      <c r="H97" s="49">
        <f>IF($C97="","",IFERROR(INDEX(Inventory!$H$4:$H$253,MATCH($C97,Inventory!$A$4:$A$253,0)),0))</f>
        <v/>
      </c>
      <c r="I97" s="34" t="n"/>
      <c r="J97" s="38">
        <f>IF($C97="","",MAX(0,$E97*$F97-$G97))</f>
        <v/>
      </c>
      <c r="K97" s="38">
        <f>IF(OR($C97="",$I97="No"),0,ROUND($J97*IFERROR(INDEX(Shows!$F$4:$F$23,MATCH($B97,Shows!$A$4:$A$23,0)),0),2))</f>
        <v/>
      </c>
      <c r="L97" s="38">
        <f>IF($C97="","",$E97*$H97)</f>
        <v/>
      </c>
      <c r="M97" s="38">
        <f>IF($C97="","",$J97-$L97-$P97)</f>
        <v/>
      </c>
      <c r="N97" s="34" t="n"/>
      <c r="O97" s="34" t="n"/>
      <c r="P97" s="38">
        <f>IF(OR($C97="",$N97&lt;&gt;"Card"),0,ROUND(($J97+$K97)*IFERROR(INDEX(Shows!$G$4:$G$23,MATCH($B97,Shows!$A$4:$A$23,0)),0)+IFERROR(INDEX(Shows!$H$4:$H$23,MATCH($B97,Shows!$A$4:$A$23,0)),0),2))</f>
        <v/>
      </c>
      <c r="Q97" s="38">
        <f>IF($C97="","",$J97+$K97-$P97)</f>
        <v/>
      </c>
      <c r="R97" s="34" t="n"/>
      <c r="S97" s="34" t="n"/>
      <c r="T97" s="34" t="n"/>
    </row>
    <row r="98">
      <c r="A98" s="46" t="n"/>
      <c r="B98" s="40" t="n"/>
      <c r="C98" s="40" t="n"/>
      <c r="D98" s="11">
        <f>IF($C98="","",IFERROR(INDEX(Inventory!$B$4:$B$253,MATCH($C98,Inventory!$A$4:$A$253,0))&amp;" "&amp;INDEX(Inventory!$C$4:$C$253,MATCH($C98,Inventory!$A$4:$A$253,0)),"SKU not in Inventory"))</f>
        <v/>
      </c>
      <c r="E98" s="42" t="n"/>
      <c r="F98" s="41" t="n"/>
      <c r="G98" s="41" t="n"/>
      <c r="H98" s="47">
        <f>IF($C98="","",IFERROR(INDEX(Inventory!$H$4:$H$253,MATCH($C98,Inventory!$A$4:$A$253,0)),0))</f>
        <v/>
      </c>
      <c r="I98" s="40" t="n"/>
      <c r="J98" s="44">
        <f>IF($C98="","",MAX(0,$E98*$F98-$G98))</f>
        <v/>
      </c>
      <c r="K98" s="44">
        <f>IF(OR($C98="",$I98="No"),0,ROUND($J98*IFERROR(INDEX(Shows!$F$4:$F$23,MATCH($B98,Shows!$A$4:$A$23,0)),0),2))</f>
        <v/>
      </c>
      <c r="L98" s="44">
        <f>IF($C98="","",$E98*$H98)</f>
        <v/>
      </c>
      <c r="M98" s="44">
        <f>IF($C98="","",$J98-$L98-$P98)</f>
        <v/>
      </c>
      <c r="N98" s="40" t="n"/>
      <c r="O98" s="40" t="n"/>
      <c r="P98" s="44">
        <f>IF(OR($C98="",$N98&lt;&gt;"Card"),0,ROUND(($J98+$K98)*IFERROR(INDEX(Shows!$G$4:$G$23,MATCH($B98,Shows!$A$4:$A$23,0)),0)+IFERROR(INDEX(Shows!$H$4:$H$23,MATCH($B98,Shows!$A$4:$A$23,0)),0),2))</f>
        <v/>
      </c>
      <c r="Q98" s="44">
        <f>IF($C98="","",$J98+$K98-$P98)</f>
        <v/>
      </c>
      <c r="R98" s="40" t="n"/>
      <c r="S98" s="40" t="n"/>
      <c r="T98" s="40" t="n"/>
    </row>
    <row r="99">
      <c r="A99" s="48" t="n"/>
      <c r="B99" s="34" t="n"/>
      <c r="C99" s="34" t="n"/>
      <c r="D99" s="15">
        <f>IF($C99="","",IFERROR(INDEX(Inventory!$B$4:$B$253,MATCH($C99,Inventory!$A$4:$A$253,0))&amp;" "&amp;INDEX(Inventory!$C$4:$C$253,MATCH($C99,Inventory!$A$4:$A$253,0)),"SKU not in Inventory"))</f>
        <v/>
      </c>
      <c r="E99" s="36" t="n"/>
      <c r="F99" s="35" t="n"/>
      <c r="G99" s="35" t="n"/>
      <c r="H99" s="49">
        <f>IF($C99="","",IFERROR(INDEX(Inventory!$H$4:$H$253,MATCH($C99,Inventory!$A$4:$A$253,0)),0))</f>
        <v/>
      </c>
      <c r="I99" s="34" t="n"/>
      <c r="J99" s="38">
        <f>IF($C99="","",MAX(0,$E99*$F99-$G99))</f>
        <v/>
      </c>
      <c r="K99" s="38">
        <f>IF(OR($C99="",$I99="No"),0,ROUND($J99*IFERROR(INDEX(Shows!$F$4:$F$23,MATCH($B99,Shows!$A$4:$A$23,0)),0),2))</f>
        <v/>
      </c>
      <c r="L99" s="38">
        <f>IF($C99="","",$E99*$H99)</f>
        <v/>
      </c>
      <c r="M99" s="38">
        <f>IF($C99="","",$J99-$L99-$P99)</f>
        <v/>
      </c>
      <c r="N99" s="34" t="n"/>
      <c r="O99" s="34" t="n"/>
      <c r="P99" s="38">
        <f>IF(OR($C99="",$N99&lt;&gt;"Card"),0,ROUND(($J99+$K99)*IFERROR(INDEX(Shows!$G$4:$G$23,MATCH($B99,Shows!$A$4:$A$23,0)),0)+IFERROR(INDEX(Shows!$H$4:$H$23,MATCH($B99,Shows!$A$4:$A$23,0)),0),2))</f>
        <v/>
      </c>
      <c r="Q99" s="38">
        <f>IF($C99="","",$J99+$K99-$P99)</f>
        <v/>
      </c>
      <c r="R99" s="34" t="n"/>
      <c r="S99" s="34" t="n"/>
      <c r="T99" s="34" t="n"/>
    </row>
    <row r="100">
      <c r="A100" s="46" t="n"/>
      <c r="B100" s="40" t="n"/>
      <c r="C100" s="40" t="n"/>
      <c r="D100" s="11">
        <f>IF($C100="","",IFERROR(INDEX(Inventory!$B$4:$B$253,MATCH($C100,Inventory!$A$4:$A$253,0))&amp;" "&amp;INDEX(Inventory!$C$4:$C$253,MATCH($C100,Inventory!$A$4:$A$253,0)),"SKU not in Inventory"))</f>
        <v/>
      </c>
      <c r="E100" s="42" t="n"/>
      <c r="F100" s="41" t="n"/>
      <c r="G100" s="41" t="n"/>
      <c r="H100" s="47">
        <f>IF($C100="","",IFERROR(INDEX(Inventory!$H$4:$H$253,MATCH($C100,Inventory!$A$4:$A$253,0)),0))</f>
        <v/>
      </c>
      <c r="I100" s="40" t="n"/>
      <c r="J100" s="44">
        <f>IF($C100="","",MAX(0,$E100*$F100-$G100))</f>
        <v/>
      </c>
      <c r="K100" s="44">
        <f>IF(OR($C100="",$I100="No"),0,ROUND($J100*IFERROR(INDEX(Shows!$F$4:$F$23,MATCH($B100,Shows!$A$4:$A$23,0)),0),2))</f>
        <v/>
      </c>
      <c r="L100" s="44">
        <f>IF($C100="","",$E100*$H100)</f>
        <v/>
      </c>
      <c r="M100" s="44">
        <f>IF($C100="","",$J100-$L100-$P100)</f>
        <v/>
      </c>
      <c r="N100" s="40" t="n"/>
      <c r="O100" s="40" t="n"/>
      <c r="P100" s="44">
        <f>IF(OR($C100="",$N100&lt;&gt;"Card"),0,ROUND(($J100+$K100)*IFERROR(INDEX(Shows!$G$4:$G$23,MATCH($B100,Shows!$A$4:$A$23,0)),0)+IFERROR(INDEX(Shows!$H$4:$H$23,MATCH($B100,Shows!$A$4:$A$23,0)),0),2))</f>
        <v/>
      </c>
      <c r="Q100" s="44">
        <f>IF($C100="","",$J100+$K100-$P100)</f>
        <v/>
      </c>
      <c r="R100" s="40" t="n"/>
      <c r="S100" s="40" t="n"/>
      <c r="T100" s="40" t="n"/>
    </row>
    <row r="101">
      <c r="A101" s="48" t="n"/>
      <c r="B101" s="34" t="n"/>
      <c r="C101" s="34" t="n"/>
      <c r="D101" s="15">
        <f>IF($C101="","",IFERROR(INDEX(Inventory!$B$4:$B$253,MATCH($C101,Inventory!$A$4:$A$253,0))&amp;" "&amp;INDEX(Inventory!$C$4:$C$253,MATCH($C101,Inventory!$A$4:$A$253,0)),"SKU not in Inventory"))</f>
        <v/>
      </c>
      <c r="E101" s="36" t="n"/>
      <c r="F101" s="35" t="n"/>
      <c r="G101" s="35" t="n"/>
      <c r="H101" s="49">
        <f>IF($C101="","",IFERROR(INDEX(Inventory!$H$4:$H$253,MATCH($C101,Inventory!$A$4:$A$253,0)),0))</f>
        <v/>
      </c>
      <c r="I101" s="34" t="n"/>
      <c r="J101" s="38">
        <f>IF($C101="","",MAX(0,$E101*$F101-$G101))</f>
        <v/>
      </c>
      <c r="K101" s="38">
        <f>IF(OR($C101="",$I101="No"),0,ROUND($J101*IFERROR(INDEX(Shows!$F$4:$F$23,MATCH($B101,Shows!$A$4:$A$23,0)),0),2))</f>
        <v/>
      </c>
      <c r="L101" s="38">
        <f>IF($C101="","",$E101*$H101)</f>
        <v/>
      </c>
      <c r="M101" s="38">
        <f>IF($C101="","",$J101-$L101-$P101)</f>
        <v/>
      </c>
      <c r="N101" s="34" t="n"/>
      <c r="O101" s="34" t="n"/>
      <c r="P101" s="38">
        <f>IF(OR($C101="",$N101&lt;&gt;"Card"),0,ROUND(($J101+$K101)*IFERROR(INDEX(Shows!$G$4:$G$23,MATCH($B101,Shows!$A$4:$A$23,0)),0)+IFERROR(INDEX(Shows!$H$4:$H$23,MATCH($B101,Shows!$A$4:$A$23,0)),0),2))</f>
        <v/>
      </c>
      <c r="Q101" s="38">
        <f>IF($C101="","",$J101+$K101-$P101)</f>
        <v/>
      </c>
      <c r="R101" s="34" t="n"/>
      <c r="S101" s="34" t="n"/>
      <c r="T101" s="34" t="n"/>
    </row>
    <row r="102">
      <c r="A102" s="46" t="n"/>
      <c r="B102" s="40" t="n"/>
      <c r="C102" s="40" t="n"/>
      <c r="D102" s="11">
        <f>IF($C102="","",IFERROR(INDEX(Inventory!$B$4:$B$253,MATCH($C102,Inventory!$A$4:$A$253,0))&amp;" "&amp;INDEX(Inventory!$C$4:$C$253,MATCH($C102,Inventory!$A$4:$A$253,0)),"SKU not in Inventory"))</f>
        <v/>
      </c>
      <c r="E102" s="42" t="n"/>
      <c r="F102" s="41" t="n"/>
      <c r="G102" s="41" t="n"/>
      <c r="H102" s="47">
        <f>IF($C102="","",IFERROR(INDEX(Inventory!$H$4:$H$253,MATCH($C102,Inventory!$A$4:$A$253,0)),0))</f>
        <v/>
      </c>
      <c r="I102" s="40" t="n"/>
      <c r="J102" s="44">
        <f>IF($C102="","",MAX(0,$E102*$F102-$G102))</f>
        <v/>
      </c>
      <c r="K102" s="44">
        <f>IF(OR($C102="",$I102="No"),0,ROUND($J102*IFERROR(INDEX(Shows!$F$4:$F$23,MATCH($B102,Shows!$A$4:$A$23,0)),0),2))</f>
        <v/>
      </c>
      <c r="L102" s="44">
        <f>IF($C102="","",$E102*$H102)</f>
        <v/>
      </c>
      <c r="M102" s="44">
        <f>IF($C102="","",$J102-$L102-$P102)</f>
        <v/>
      </c>
      <c r="N102" s="40" t="n"/>
      <c r="O102" s="40" t="n"/>
      <c r="P102" s="44">
        <f>IF(OR($C102="",$N102&lt;&gt;"Card"),0,ROUND(($J102+$K102)*IFERROR(INDEX(Shows!$G$4:$G$23,MATCH($B102,Shows!$A$4:$A$23,0)),0)+IFERROR(INDEX(Shows!$H$4:$H$23,MATCH($B102,Shows!$A$4:$A$23,0)),0),2))</f>
        <v/>
      </c>
      <c r="Q102" s="44">
        <f>IF($C102="","",$J102+$K102-$P102)</f>
        <v/>
      </c>
      <c r="R102" s="40" t="n"/>
      <c r="S102" s="40" t="n"/>
      <c r="T102" s="40" t="n"/>
    </row>
    <row r="103">
      <c r="A103" s="48" t="n"/>
      <c r="B103" s="34" t="n"/>
      <c r="C103" s="34" t="n"/>
      <c r="D103" s="15">
        <f>IF($C103="","",IFERROR(INDEX(Inventory!$B$4:$B$253,MATCH($C103,Inventory!$A$4:$A$253,0))&amp;" "&amp;INDEX(Inventory!$C$4:$C$253,MATCH($C103,Inventory!$A$4:$A$253,0)),"SKU not in Inventory"))</f>
        <v/>
      </c>
      <c r="E103" s="36" t="n"/>
      <c r="F103" s="35" t="n"/>
      <c r="G103" s="35" t="n"/>
      <c r="H103" s="49">
        <f>IF($C103="","",IFERROR(INDEX(Inventory!$H$4:$H$253,MATCH($C103,Inventory!$A$4:$A$253,0)),0))</f>
        <v/>
      </c>
      <c r="I103" s="34" t="n"/>
      <c r="J103" s="38">
        <f>IF($C103="","",MAX(0,$E103*$F103-$G103))</f>
        <v/>
      </c>
      <c r="K103" s="38">
        <f>IF(OR($C103="",$I103="No"),0,ROUND($J103*IFERROR(INDEX(Shows!$F$4:$F$23,MATCH($B103,Shows!$A$4:$A$23,0)),0),2))</f>
        <v/>
      </c>
      <c r="L103" s="38">
        <f>IF($C103="","",$E103*$H103)</f>
        <v/>
      </c>
      <c r="M103" s="38">
        <f>IF($C103="","",$J103-$L103-$P103)</f>
        <v/>
      </c>
      <c r="N103" s="34" t="n"/>
      <c r="O103" s="34" t="n"/>
      <c r="P103" s="38">
        <f>IF(OR($C103="",$N103&lt;&gt;"Card"),0,ROUND(($J103+$K103)*IFERROR(INDEX(Shows!$G$4:$G$23,MATCH($B103,Shows!$A$4:$A$23,0)),0)+IFERROR(INDEX(Shows!$H$4:$H$23,MATCH($B103,Shows!$A$4:$A$23,0)),0),2))</f>
        <v/>
      </c>
      <c r="Q103" s="38">
        <f>IF($C103="","",$J103+$K103-$P103)</f>
        <v/>
      </c>
      <c r="R103" s="34" t="n"/>
      <c r="S103" s="34" t="n"/>
      <c r="T103" s="34" t="n"/>
    </row>
    <row r="104">
      <c r="A104" s="46" t="n"/>
      <c r="B104" s="40" t="n"/>
      <c r="C104" s="40" t="n"/>
      <c r="D104" s="11">
        <f>IF($C104="","",IFERROR(INDEX(Inventory!$B$4:$B$253,MATCH($C104,Inventory!$A$4:$A$253,0))&amp;" "&amp;INDEX(Inventory!$C$4:$C$253,MATCH($C104,Inventory!$A$4:$A$253,0)),"SKU not in Inventory"))</f>
        <v/>
      </c>
      <c r="E104" s="42" t="n"/>
      <c r="F104" s="41" t="n"/>
      <c r="G104" s="41" t="n"/>
      <c r="H104" s="47">
        <f>IF($C104="","",IFERROR(INDEX(Inventory!$H$4:$H$253,MATCH($C104,Inventory!$A$4:$A$253,0)),0))</f>
        <v/>
      </c>
      <c r="I104" s="40" t="n"/>
      <c r="J104" s="44">
        <f>IF($C104="","",MAX(0,$E104*$F104-$G104))</f>
        <v/>
      </c>
      <c r="K104" s="44">
        <f>IF(OR($C104="",$I104="No"),0,ROUND($J104*IFERROR(INDEX(Shows!$F$4:$F$23,MATCH($B104,Shows!$A$4:$A$23,0)),0),2))</f>
        <v/>
      </c>
      <c r="L104" s="44">
        <f>IF($C104="","",$E104*$H104)</f>
        <v/>
      </c>
      <c r="M104" s="44">
        <f>IF($C104="","",$J104-$L104-$P104)</f>
        <v/>
      </c>
      <c r="N104" s="40" t="n"/>
      <c r="O104" s="40" t="n"/>
      <c r="P104" s="44">
        <f>IF(OR($C104="",$N104&lt;&gt;"Card"),0,ROUND(($J104+$K104)*IFERROR(INDEX(Shows!$G$4:$G$23,MATCH($B104,Shows!$A$4:$A$23,0)),0)+IFERROR(INDEX(Shows!$H$4:$H$23,MATCH($B104,Shows!$A$4:$A$23,0)),0),2))</f>
        <v/>
      </c>
      <c r="Q104" s="44">
        <f>IF($C104="","",$J104+$K104-$P104)</f>
        <v/>
      </c>
      <c r="R104" s="40" t="n"/>
      <c r="S104" s="40" t="n"/>
      <c r="T104" s="40" t="n"/>
    </row>
    <row r="105">
      <c r="A105" s="48" t="n"/>
      <c r="B105" s="34" t="n"/>
      <c r="C105" s="34" t="n"/>
      <c r="D105" s="15">
        <f>IF($C105="","",IFERROR(INDEX(Inventory!$B$4:$B$253,MATCH($C105,Inventory!$A$4:$A$253,0))&amp;" "&amp;INDEX(Inventory!$C$4:$C$253,MATCH($C105,Inventory!$A$4:$A$253,0)),"SKU not in Inventory"))</f>
        <v/>
      </c>
      <c r="E105" s="36" t="n"/>
      <c r="F105" s="35" t="n"/>
      <c r="G105" s="35" t="n"/>
      <c r="H105" s="49">
        <f>IF($C105="","",IFERROR(INDEX(Inventory!$H$4:$H$253,MATCH($C105,Inventory!$A$4:$A$253,0)),0))</f>
        <v/>
      </c>
      <c r="I105" s="34" t="n"/>
      <c r="J105" s="38">
        <f>IF($C105="","",MAX(0,$E105*$F105-$G105))</f>
        <v/>
      </c>
      <c r="K105" s="38">
        <f>IF(OR($C105="",$I105="No"),0,ROUND($J105*IFERROR(INDEX(Shows!$F$4:$F$23,MATCH($B105,Shows!$A$4:$A$23,0)),0),2))</f>
        <v/>
      </c>
      <c r="L105" s="38">
        <f>IF($C105="","",$E105*$H105)</f>
        <v/>
      </c>
      <c r="M105" s="38">
        <f>IF($C105="","",$J105-$L105-$P105)</f>
        <v/>
      </c>
      <c r="N105" s="34" t="n"/>
      <c r="O105" s="34" t="n"/>
      <c r="P105" s="38">
        <f>IF(OR($C105="",$N105&lt;&gt;"Card"),0,ROUND(($J105+$K105)*IFERROR(INDEX(Shows!$G$4:$G$23,MATCH($B105,Shows!$A$4:$A$23,0)),0)+IFERROR(INDEX(Shows!$H$4:$H$23,MATCH($B105,Shows!$A$4:$A$23,0)),0),2))</f>
        <v/>
      </c>
      <c r="Q105" s="38">
        <f>IF($C105="","",$J105+$K105-$P105)</f>
        <v/>
      </c>
      <c r="R105" s="34" t="n"/>
      <c r="S105" s="34" t="n"/>
      <c r="T105" s="34" t="n"/>
    </row>
    <row r="106">
      <c r="A106" s="46" t="n"/>
      <c r="B106" s="40" t="n"/>
      <c r="C106" s="40" t="n"/>
      <c r="D106" s="11">
        <f>IF($C106="","",IFERROR(INDEX(Inventory!$B$4:$B$253,MATCH($C106,Inventory!$A$4:$A$253,0))&amp;" "&amp;INDEX(Inventory!$C$4:$C$253,MATCH($C106,Inventory!$A$4:$A$253,0)),"SKU not in Inventory"))</f>
        <v/>
      </c>
      <c r="E106" s="42" t="n"/>
      <c r="F106" s="41" t="n"/>
      <c r="G106" s="41" t="n"/>
      <c r="H106" s="47">
        <f>IF($C106="","",IFERROR(INDEX(Inventory!$H$4:$H$253,MATCH($C106,Inventory!$A$4:$A$253,0)),0))</f>
        <v/>
      </c>
      <c r="I106" s="40" t="n"/>
      <c r="J106" s="44">
        <f>IF($C106="","",MAX(0,$E106*$F106-$G106))</f>
        <v/>
      </c>
      <c r="K106" s="44">
        <f>IF(OR($C106="",$I106="No"),0,ROUND($J106*IFERROR(INDEX(Shows!$F$4:$F$23,MATCH($B106,Shows!$A$4:$A$23,0)),0),2))</f>
        <v/>
      </c>
      <c r="L106" s="44">
        <f>IF($C106="","",$E106*$H106)</f>
        <v/>
      </c>
      <c r="M106" s="44">
        <f>IF($C106="","",$J106-$L106-$P106)</f>
        <v/>
      </c>
      <c r="N106" s="40" t="n"/>
      <c r="O106" s="40" t="n"/>
      <c r="P106" s="44">
        <f>IF(OR($C106="",$N106&lt;&gt;"Card"),0,ROUND(($J106+$K106)*IFERROR(INDEX(Shows!$G$4:$G$23,MATCH($B106,Shows!$A$4:$A$23,0)),0)+IFERROR(INDEX(Shows!$H$4:$H$23,MATCH($B106,Shows!$A$4:$A$23,0)),0),2))</f>
        <v/>
      </c>
      <c r="Q106" s="44">
        <f>IF($C106="","",$J106+$K106-$P106)</f>
        <v/>
      </c>
      <c r="R106" s="40" t="n"/>
      <c r="S106" s="40" t="n"/>
      <c r="T106" s="40" t="n"/>
    </row>
    <row r="107">
      <c r="A107" s="48" t="n"/>
      <c r="B107" s="34" t="n"/>
      <c r="C107" s="34" t="n"/>
      <c r="D107" s="15">
        <f>IF($C107="","",IFERROR(INDEX(Inventory!$B$4:$B$253,MATCH($C107,Inventory!$A$4:$A$253,0))&amp;" "&amp;INDEX(Inventory!$C$4:$C$253,MATCH($C107,Inventory!$A$4:$A$253,0)),"SKU not in Inventory"))</f>
        <v/>
      </c>
      <c r="E107" s="36" t="n"/>
      <c r="F107" s="35" t="n"/>
      <c r="G107" s="35" t="n"/>
      <c r="H107" s="49">
        <f>IF($C107="","",IFERROR(INDEX(Inventory!$H$4:$H$253,MATCH($C107,Inventory!$A$4:$A$253,0)),0))</f>
        <v/>
      </c>
      <c r="I107" s="34" t="n"/>
      <c r="J107" s="38">
        <f>IF($C107="","",MAX(0,$E107*$F107-$G107))</f>
        <v/>
      </c>
      <c r="K107" s="38">
        <f>IF(OR($C107="",$I107="No"),0,ROUND($J107*IFERROR(INDEX(Shows!$F$4:$F$23,MATCH($B107,Shows!$A$4:$A$23,0)),0),2))</f>
        <v/>
      </c>
      <c r="L107" s="38">
        <f>IF($C107="","",$E107*$H107)</f>
        <v/>
      </c>
      <c r="M107" s="38">
        <f>IF($C107="","",$J107-$L107-$P107)</f>
        <v/>
      </c>
      <c r="N107" s="34" t="n"/>
      <c r="O107" s="34" t="n"/>
      <c r="P107" s="38">
        <f>IF(OR($C107="",$N107&lt;&gt;"Card"),0,ROUND(($J107+$K107)*IFERROR(INDEX(Shows!$G$4:$G$23,MATCH($B107,Shows!$A$4:$A$23,0)),0)+IFERROR(INDEX(Shows!$H$4:$H$23,MATCH($B107,Shows!$A$4:$A$23,0)),0),2))</f>
        <v/>
      </c>
      <c r="Q107" s="38">
        <f>IF($C107="","",$J107+$K107-$P107)</f>
        <v/>
      </c>
      <c r="R107" s="34" t="n"/>
      <c r="S107" s="34" t="n"/>
      <c r="T107" s="34" t="n"/>
    </row>
    <row r="108">
      <c r="A108" s="46" t="n"/>
      <c r="B108" s="40" t="n"/>
      <c r="C108" s="40" t="n"/>
      <c r="D108" s="11">
        <f>IF($C108="","",IFERROR(INDEX(Inventory!$B$4:$B$253,MATCH($C108,Inventory!$A$4:$A$253,0))&amp;" "&amp;INDEX(Inventory!$C$4:$C$253,MATCH($C108,Inventory!$A$4:$A$253,0)),"SKU not in Inventory"))</f>
        <v/>
      </c>
      <c r="E108" s="42" t="n"/>
      <c r="F108" s="41" t="n"/>
      <c r="G108" s="41" t="n"/>
      <c r="H108" s="47">
        <f>IF($C108="","",IFERROR(INDEX(Inventory!$H$4:$H$253,MATCH($C108,Inventory!$A$4:$A$253,0)),0))</f>
        <v/>
      </c>
      <c r="I108" s="40" t="n"/>
      <c r="J108" s="44">
        <f>IF($C108="","",MAX(0,$E108*$F108-$G108))</f>
        <v/>
      </c>
      <c r="K108" s="44">
        <f>IF(OR($C108="",$I108="No"),0,ROUND($J108*IFERROR(INDEX(Shows!$F$4:$F$23,MATCH($B108,Shows!$A$4:$A$23,0)),0),2))</f>
        <v/>
      </c>
      <c r="L108" s="44">
        <f>IF($C108="","",$E108*$H108)</f>
        <v/>
      </c>
      <c r="M108" s="44">
        <f>IF($C108="","",$J108-$L108-$P108)</f>
        <v/>
      </c>
      <c r="N108" s="40" t="n"/>
      <c r="O108" s="40" t="n"/>
      <c r="P108" s="44">
        <f>IF(OR($C108="",$N108&lt;&gt;"Card"),0,ROUND(($J108+$K108)*IFERROR(INDEX(Shows!$G$4:$G$23,MATCH($B108,Shows!$A$4:$A$23,0)),0)+IFERROR(INDEX(Shows!$H$4:$H$23,MATCH($B108,Shows!$A$4:$A$23,0)),0),2))</f>
        <v/>
      </c>
      <c r="Q108" s="44">
        <f>IF($C108="","",$J108+$K108-$P108)</f>
        <v/>
      </c>
      <c r="R108" s="40" t="n"/>
      <c r="S108" s="40" t="n"/>
      <c r="T108" s="40" t="n"/>
    </row>
    <row r="109">
      <c r="A109" s="48" t="n"/>
      <c r="B109" s="34" t="n"/>
      <c r="C109" s="34" t="n"/>
      <c r="D109" s="15">
        <f>IF($C109="","",IFERROR(INDEX(Inventory!$B$4:$B$253,MATCH($C109,Inventory!$A$4:$A$253,0))&amp;" "&amp;INDEX(Inventory!$C$4:$C$253,MATCH($C109,Inventory!$A$4:$A$253,0)),"SKU not in Inventory"))</f>
        <v/>
      </c>
      <c r="E109" s="36" t="n"/>
      <c r="F109" s="35" t="n"/>
      <c r="G109" s="35" t="n"/>
      <c r="H109" s="49">
        <f>IF($C109="","",IFERROR(INDEX(Inventory!$H$4:$H$253,MATCH($C109,Inventory!$A$4:$A$253,0)),0))</f>
        <v/>
      </c>
      <c r="I109" s="34" t="n"/>
      <c r="J109" s="38">
        <f>IF($C109="","",MAX(0,$E109*$F109-$G109))</f>
        <v/>
      </c>
      <c r="K109" s="38">
        <f>IF(OR($C109="",$I109="No"),0,ROUND($J109*IFERROR(INDEX(Shows!$F$4:$F$23,MATCH($B109,Shows!$A$4:$A$23,0)),0),2))</f>
        <v/>
      </c>
      <c r="L109" s="38">
        <f>IF($C109="","",$E109*$H109)</f>
        <v/>
      </c>
      <c r="M109" s="38">
        <f>IF($C109="","",$J109-$L109-$P109)</f>
        <v/>
      </c>
      <c r="N109" s="34" t="n"/>
      <c r="O109" s="34" t="n"/>
      <c r="P109" s="38">
        <f>IF(OR($C109="",$N109&lt;&gt;"Card"),0,ROUND(($J109+$K109)*IFERROR(INDEX(Shows!$G$4:$G$23,MATCH($B109,Shows!$A$4:$A$23,0)),0)+IFERROR(INDEX(Shows!$H$4:$H$23,MATCH($B109,Shows!$A$4:$A$23,0)),0),2))</f>
        <v/>
      </c>
      <c r="Q109" s="38">
        <f>IF($C109="","",$J109+$K109-$P109)</f>
        <v/>
      </c>
      <c r="R109" s="34" t="n"/>
      <c r="S109" s="34" t="n"/>
      <c r="T109" s="34" t="n"/>
    </row>
    <row r="110">
      <c r="A110" s="46" t="n"/>
      <c r="B110" s="40" t="n"/>
      <c r="C110" s="40" t="n"/>
      <c r="D110" s="11">
        <f>IF($C110="","",IFERROR(INDEX(Inventory!$B$4:$B$253,MATCH($C110,Inventory!$A$4:$A$253,0))&amp;" "&amp;INDEX(Inventory!$C$4:$C$253,MATCH($C110,Inventory!$A$4:$A$253,0)),"SKU not in Inventory"))</f>
        <v/>
      </c>
      <c r="E110" s="42" t="n"/>
      <c r="F110" s="41" t="n"/>
      <c r="G110" s="41" t="n"/>
      <c r="H110" s="47">
        <f>IF($C110="","",IFERROR(INDEX(Inventory!$H$4:$H$253,MATCH($C110,Inventory!$A$4:$A$253,0)),0))</f>
        <v/>
      </c>
      <c r="I110" s="40" t="n"/>
      <c r="J110" s="44">
        <f>IF($C110="","",MAX(0,$E110*$F110-$G110))</f>
        <v/>
      </c>
      <c r="K110" s="44">
        <f>IF(OR($C110="",$I110="No"),0,ROUND($J110*IFERROR(INDEX(Shows!$F$4:$F$23,MATCH($B110,Shows!$A$4:$A$23,0)),0),2))</f>
        <v/>
      </c>
      <c r="L110" s="44">
        <f>IF($C110="","",$E110*$H110)</f>
        <v/>
      </c>
      <c r="M110" s="44">
        <f>IF($C110="","",$J110-$L110-$P110)</f>
        <v/>
      </c>
      <c r="N110" s="40" t="n"/>
      <c r="O110" s="40" t="n"/>
      <c r="P110" s="44">
        <f>IF(OR($C110="",$N110&lt;&gt;"Card"),0,ROUND(($J110+$K110)*IFERROR(INDEX(Shows!$G$4:$G$23,MATCH($B110,Shows!$A$4:$A$23,0)),0)+IFERROR(INDEX(Shows!$H$4:$H$23,MATCH($B110,Shows!$A$4:$A$23,0)),0),2))</f>
        <v/>
      </c>
      <c r="Q110" s="44">
        <f>IF($C110="","",$J110+$K110-$P110)</f>
        <v/>
      </c>
      <c r="R110" s="40" t="n"/>
      <c r="S110" s="40" t="n"/>
      <c r="T110" s="40" t="n"/>
    </row>
    <row r="111">
      <c r="A111" s="48" t="n"/>
      <c r="B111" s="34" t="n"/>
      <c r="C111" s="34" t="n"/>
      <c r="D111" s="15">
        <f>IF($C111="","",IFERROR(INDEX(Inventory!$B$4:$B$253,MATCH($C111,Inventory!$A$4:$A$253,0))&amp;" "&amp;INDEX(Inventory!$C$4:$C$253,MATCH($C111,Inventory!$A$4:$A$253,0)),"SKU not in Inventory"))</f>
        <v/>
      </c>
      <c r="E111" s="36" t="n"/>
      <c r="F111" s="35" t="n"/>
      <c r="G111" s="35" t="n"/>
      <c r="H111" s="49">
        <f>IF($C111="","",IFERROR(INDEX(Inventory!$H$4:$H$253,MATCH($C111,Inventory!$A$4:$A$253,0)),0))</f>
        <v/>
      </c>
      <c r="I111" s="34" t="n"/>
      <c r="J111" s="38">
        <f>IF($C111="","",MAX(0,$E111*$F111-$G111))</f>
        <v/>
      </c>
      <c r="K111" s="38">
        <f>IF(OR($C111="",$I111="No"),0,ROUND($J111*IFERROR(INDEX(Shows!$F$4:$F$23,MATCH($B111,Shows!$A$4:$A$23,0)),0),2))</f>
        <v/>
      </c>
      <c r="L111" s="38">
        <f>IF($C111="","",$E111*$H111)</f>
        <v/>
      </c>
      <c r="M111" s="38">
        <f>IF($C111="","",$J111-$L111-$P111)</f>
        <v/>
      </c>
      <c r="N111" s="34" t="n"/>
      <c r="O111" s="34" t="n"/>
      <c r="P111" s="38">
        <f>IF(OR($C111="",$N111&lt;&gt;"Card"),0,ROUND(($J111+$K111)*IFERROR(INDEX(Shows!$G$4:$G$23,MATCH($B111,Shows!$A$4:$A$23,0)),0)+IFERROR(INDEX(Shows!$H$4:$H$23,MATCH($B111,Shows!$A$4:$A$23,0)),0),2))</f>
        <v/>
      </c>
      <c r="Q111" s="38">
        <f>IF($C111="","",$J111+$K111-$P111)</f>
        <v/>
      </c>
      <c r="R111" s="34" t="n"/>
      <c r="S111" s="34" t="n"/>
      <c r="T111" s="34" t="n"/>
    </row>
    <row r="112">
      <c r="A112" s="46" t="n"/>
      <c r="B112" s="40" t="n"/>
      <c r="C112" s="40" t="n"/>
      <c r="D112" s="11">
        <f>IF($C112="","",IFERROR(INDEX(Inventory!$B$4:$B$253,MATCH($C112,Inventory!$A$4:$A$253,0))&amp;" "&amp;INDEX(Inventory!$C$4:$C$253,MATCH($C112,Inventory!$A$4:$A$253,0)),"SKU not in Inventory"))</f>
        <v/>
      </c>
      <c r="E112" s="42" t="n"/>
      <c r="F112" s="41" t="n"/>
      <c r="G112" s="41" t="n"/>
      <c r="H112" s="47">
        <f>IF($C112="","",IFERROR(INDEX(Inventory!$H$4:$H$253,MATCH($C112,Inventory!$A$4:$A$253,0)),0))</f>
        <v/>
      </c>
      <c r="I112" s="40" t="n"/>
      <c r="J112" s="44">
        <f>IF($C112="","",MAX(0,$E112*$F112-$G112))</f>
        <v/>
      </c>
      <c r="K112" s="44">
        <f>IF(OR($C112="",$I112="No"),0,ROUND($J112*IFERROR(INDEX(Shows!$F$4:$F$23,MATCH($B112,Shows!$A$4:$A$23,0)),0),2))</f>
        <v/>
      </c>
      <c r="L112" s="44">
        <f>IF($C112="","",$E112*$H112)</f>
        <v/>
      </c>
      <c r="M112" s="44">
        <f>IF($C112="","",$J112-$L112-$P112)</f>
        <v/>
      </c>
      <c r="N112" s="40" t="n"/>
      <c r="O112" s="40" t="n"/>
      <c r="P112" s="44">
        <f>IF(OR($C112="",$N112&lt;&gt;"Card"),0,ROUND(($J112+$K112)*IFERROR(INDEX(Shows!$G$4:$G$23,MATCH($B112,Shows!$A$4:$A$23,0)),0)+IFERROR(INDEX(Shows!$H$4:$H$23,MATCH($B112,Shows!$A$4:$A$23,0)),0),2))</f>
        <v/>
      </c>
      <c r="Q112" s="44">
        <f>IF($C112="","",$J112+$K112-$P112)</f>
        <v/>
      </c>
      <c r="R112" s="40" t="n"/>
      <c r="S112" s="40" t="n"/>
      <c r="T112" s="40" t="n"/>
    </row>
    <row r="113">
      <c r="A113" s="48" t="n"/>
      <c r="B113" s="34" t="n"/>
      <c r="C113" s="34" t="n"/>
      <c r="D113" s="15">
        <f>IF($C113="","",IFERROR(INDEX(Inventory!$B$4:$B$253,MATCH($C113,Inventory!$A$4:$A$253,0))&amp;" "&amp;INDEX(Inventory!$C$4:$C$253,MATCH($C113,Inventory!$A$4:$A$253,0)),"SKU not in Inventory"))</f>
        <v/>
      </c>
      <c r="E113" s="36" t="n"/>
      <c r="F113" s="35" t="n"/>
      <c r="G113" s="35" t="n"/>
      <c r="H113" s="49">
        <f>IF($C113="","",IFERROR(INDEX(Inventory!$H$4:$H$253,MATCH($C113,Inventory!$A$4:$A$253,0)),0))</f>
        <v/>
      </c>
      <c r="I113" s="34" t="n"/>
      <c r="J113" s="38">
        <f>IF($C113="","",MAX(0,$E113*$F113-$G113))</f>
        <v/>
      </c>
      <c r="K113" s="38">
        <f>IF(OR($C113="",$I113="No"),0,ROUND($J113*IFERROR(INDEX(Shows!$F$4:$F$23,MATCH($B113,Shows!$A$4:$A$23,0)),0),2))</f>
        <v/>
      </c>
      <c r="L113" s="38">
        <f>IF($C113="","",$E113*$H113)</f>
        <v/>
      </c>
      <c r="M113" s="38">
        <f>IF($C113="","",$J113-$L113-$P113)</f>
        <v/>
      </c>
      <c r="N113" s="34" t="n"/>
      <c r="O113" s="34" t="n"/>
      <c r="P113" s="38">
        <f>IF(OR($C113="",$N113&lt;&gt;"Card"),0,ROUND(($J113+$K113)*IFERROR(INDEX(Shows!$G$4:$G$23,MATCH($B113,Shows!$A$4:$A$23,0)),0)+IFERROR(INDEX(Shows!$H$4:$H$23,MATCH($B113,Shows!$A$4:$A$23,0)),0),2))</f>
        <v/>
      </c>
      <c r="Q113" s="38">
        <f>IF($C113="","",$J113+$K113-$P113)</f>
        <v/>
      </c>
      <c r="R113" s="34" t="n"/>
      <c r="S113" s="34" t="n"/>
      <c r="T113" s="34" t="n"/>
    </row>
    <row r="114">
      <c r="A114" s="46" t="n"/>
      <c r="B114" s="40" t="n"/>
      <c r="C114" s="40" t="n"/>
      <c r="D114" s="11">
        <f>IF($C114="","",IFERROR(INDEX(Inventory!$B$4:$B$253,MATCH($C114,Inventory!$A$4:$A$253,0))&amp;" "&amp;INDEX(Inventory!$C$4:$C$253,MATCH($C114,Inventory!$A$4:$A$253,0)),"SKU not in Inventory"))</f>
        <v/>
      </c>
      <c r="E114" s="42" t="n"/>
      <c r="F114" s="41" t="n"/>
      <c r="G114" s="41" t="n"/>
      <c r="H114" s="47">
        <f>IF($C114="","",IFERROR(INDEX(Inventory!$H$4:$H$253,MATCH($C114,Inventory!$A$4:$A$253,0)),0))</f>
        <v/>
      </c>
      <c r="I114" s="40" t="n"/>
      <c r="J114" s="44">
        <f>IF($C114="","",MAX(0,$E114*$F114-$G114))</f>
        <v/>
      </c>
      <c r="K114" s="44">
        <f>IF(OR($C114="",$I114="No"),0,ROUND($J114*IFERROR(INDEX(Shows!$F$4:$F$23,MATCH($B114,Shows!$A$4:$A$23,0)),0),2))</f>
        <v/>
      </c>
      <c r="L114" s="44">
        <f>IF($C114="","",$E114*$H114)</f>
        <v/>
      </c>
      <c r="M114" s="44">
        <f>IF($C114="","",$J114-$L114-$P114)</f>
        <v/>
      </c>
      <c r="N114" s="40" t="n"/>
      <c r="O114" s="40" t="n"/>
      <c r="P114" s="44">
        <f>IF(OR($C114="",$N114&lt;&gt;"Card"),0,ROUND(($J114+$K114)*IFERROR(INDEX(Shows!$G$4:$G$23,MATCH($B114,Shows!$A$4:$A$23,0)),0)+IFERROR(INDEX(Shows!$H$4:$H$23,MATCH($B114,Shows!$A$4:$A$23,0)),0),2))</f>
        <v/>
      </c>
      <c r="Q114" s="44">
        <f>IF($C114="","",$J114+$K114-$P114)</f>
        <v/>
      </c>
      <c r="R114" s="40" t="n"/>
      <c r="S114" s="40" t="n"/>
      <c r="T114" s="40" t="n"/>
    </row>
    <row r="115">
      <c r="A115" s="48" t="n"/>
      <c r="B115" s="34" t="n"/>
      <c r="C115" s="34" t="n"/>
      <c r="D115" s="15">
        <f>IF($C115="","",IFERROR(INDEX(Inventory!$B$4:$B$253,MATCH($C115,Inventory!$A$4:$A$253,0))&amp;" "&amp;INDEX(Inventory!$C$4:$C$253,MATCH($C115,Inventory!$A$4:$A$253,0)),"SKU not in Inventory"))</f>
        <v/>
      </c>
      <c r="E115" s="36" t="n"/>
      <c r="F115" s="35" t="n"/>
      <c r="G115" s="35" t="n"/>
      <c r="H115" s="49">
        <f>IF($C115="","",IFERROR(INDEX(Inventory!$H$4:$H$253,MATCH($C115,Inventory!$A$4:$A$253,0)),0))</f>
        <v/>
      </c>
      <c r="I115" s="34" t="n"/>
      <c r="J115" s="38">
        <f>IF($C115="","",MAX(0,$E115*$F115-$G115))</f>
        <v/>
      </c>
      <c r="K115" s="38">
        <f>IF(OR($C115="",$I115="No"),0,ROUND($J115*IFERROR(INDEX(Shows!$F$4:$F$23,MATCH($B115,Shows!$A$4:$A$23,0)),0),2))</f>
        <v/>
      </c>
      <c r="L115" s="38">
        <f>IF($C115="","",$E115*$H115)</f>
        <v/>
      </c>
      <c r="M115" s="38">
        <f>IF($C115="","",$J115-$L115-$P115)</f>
        <v/>
      </c>
      <c r="N115" s="34" t="n"/>
      <c r="O115" s="34" t="n"/>
      <c r="P115" s="38">
        <f>IF(OR($C115="",$N115&lt;&gt;"Card"),0,ROUND(($J115+$K115)*IFERROR(INDEX(Shows!$G$4:$G$23,MATCH($B115,Shows!$A$4:$A$23,0)),0)+IFERROR(INDEX(Shows!$H$4:$H$23,MATCH($B115,Shows!$A$4:$A$23,0)),0),2))</f>
        <v/>
      </c>
      <c r="Q115" s="38">
        <f>IF($C115="","",$J115+$K115-$P115)</f>
        <v/>
      </c>
      <c r="R115" s="34" t="n"/>
      <c r="S115" s="34" t="n"/>
      <c r="T115" s="34" t="n"/>
    </row>
    <row r="116">
      <c r="A116" s="46" t="n"/>
      <c r="B116" s="40" t="n"/>
      <c r="C116" s="40" t="n"/>
      <c r="D116" s="11">
        <f>IF($C116="","",IFERROR(INDEX(Inventory!$B$4:$B$253,MATCH($C116,Inventory!$A$4:$A$253,0))&amp;" "&amp;INDEX(Inventory!$C$4:$C$253,MATCH($C116,Inventory!$A$4:$A$253,0)),"SKU not in Inventory"))</f>
        <v/>
      </c>
      <c r="E116" s="42" t="n"/>
      <c r="F116" s="41" t="n"/>
      <c r="G116" s="41" t="n"/>
      <c r="H116" s="47">
        <f>IF($C116="","",IFERROR(INDEX(Inventory!$H$4:$H$253,MATCH($C116,Inventory!$A$4:$A$253,0)),0))</f>
        <v/>
      </c>
      <c r="I116" s="40" t="n"/>
      <c r="J116" s="44">
        <f>IF($C116="","",MAX(0,$E116*$F116-$G116))</f>
        <v/>
      </c>
      <c r="K116" s="44">
        <f>IF(OR($C116="",$I116="No"),0,ROUND($J116*IFERROR(INDEX(Shows!$F$4:$F$23,MATCH($B116,Shows!$A$4:$A$23,0)),0),2))</f>
        <v/>
      </c>
      <c r="L116" s="44">
        <f>IF($C116="","",$E116*$H116)</f>
        <v/>
      </c>
      <c r="M116" s="44">
        <f>IF($C116="","",$J116-$L116-$P116)</f>
        <v/>
      </c>
      <c r="N116" s="40" t="n"/>
      <c r="O116" s="40" t="n"/>
      <c r="P116" s="44">
        <f>IF(OR($C116="",$N116&lt;&gt;"Card"),0,ROUND(($J116+$K116)*IFERROR(INDEX(Shows!$G$4:$G$23,MATCH($B116,Shows!$A$4:$A$23,0)),0)+IFERROR(INDEX(Shows!$H$4:$H$23,MATCH($B116,Shows!$A$4:$A$23,0)),0),2))</f>
        <v/>
      </c>
      <c r="Q116" s="44">
        <f>IF($C116="","",$J116+$K116-$P116)</f>
        <v/>
      </c>
      <c r="R116" s="40" t="n"/>
      <c r="S116" s="40" t="n"/>
      <c r="T116" s="40" t="n"/>
    </row>
    <row r="117">
      <c r="A117" s="48" t="n"/>
      <c r="B117" s="34" t="n"/>
      <c r="C117" s="34" t="n"/>
      <c r="D117" s="15">
        <f>IF($C117="","",IFERROR(INDEX(Inventory!$B$4:$B$253,MATCH($C117,Inventory!$A$4:$A$253,0))&amp;" "&amp;INDEX(Inventory!$C$4:$C$253,MATCH($C117,Inventory!$A$4:$A$253,0)),"SKU not in Inventory"))</f>
        <v/>
      </c>
      <c r="E117" s="36" t="n"/>
      <c r="F117" s="35" t="n"/>
      <c r="G117" s="35" t="n"/>
      <c r="H117" s="49">
        <f>IF($C117="","",IFERROR(INDEX(Inventory!$H$4:$H$253,MATCH($C117,Inventory!$A$4:$A$253,0)),0))</f>
        <v/>
      </c>
      <c r="I117" s="34" t="n"/>
      <c r="J117" s="38">
        <f>IF($C117="","",MAX(0,$E117*$F117-$G117))</f>
        <v/>
      </c>
      <c r="K117" s="38">
        <f>IF(OR($C117="",$I117="No"),0,ROUND($J117*IFERROR(INDEX(Shows!$F$4:$F$23,MATCH($B117,Shows!$A$4:$A$23,0)),0),2))</f>
        <v/>
      </c>
      <c r="L117" s="38">
        <f>IF($C117="","",$E117*$H117)</f>
        <v/>
      </c>
      <c r="M117" s="38">
        <f>IF($C117="","",$J117-$L117-$P117)</f>
        <v/>
      </c>
      <c r="N117" s="34" t="n"/>
      <c r="O117" s="34" t="n"/>
      <c r="P117" s="38">
        <f>IF(OR($C117="",$N117&lt;&gt;"Card"),0,ROUND(($J117+$K117)*IFERROR(INDEX(Shows!$G$4:$G$23,MATCH($B117,Shows!$A$4:$A$23,0)),0)+IFERROR(INDEX(Shows!$H$4:$H$23,MATCH($B117,Shows!$A$4:$A$23,0)),0),2))</f>
        <v/>
      </c>
      <c r="Q117" s="38">
        <f>IF($C117="","",$J117+$K117-$P117)</f>
        <v/>
      </c>
      <c r="R117" s="34" t="n"/>
      <c r="S117" s="34" t="n"/>
      <c r="T117" s="34" t="n"/>
    </row>
    <row r="118">
      <c r="A118" s="46" t="n"/>
      <c r="B118" s="40" t="n"/>
      <c r="C118" s="40" t="n"/>
      <c r="D118" s="11">
        <f>IF($C118="","",IFERROR(INDEX(Inventory!$B$4:$B$253,MATCH($C118,Inventory!$A$4:$A$253,0))&amp;" "&amp;INDEX(Inventory!$C$4:$C$253,MATCH($C118,Inventory!$A$4:$A$253,0)),"SKU not in Inventory"))</f>
        <v/>
      </c>
      <c r="E118" s="42" t="n"/>
      <c r="F118" s="41" t="n"/>
      <c r="G118" s="41" t="n"/>
      <c r="H118" s="47">
        <f>IF($C118="","",IFERROR(INDEX(Inventory!$H$4:$H$253,MATCH($C118,Inventory!$A$4:$A$253,0)),0))</f>
        <v/>
      </c>
      <c r="I118" s="40" t="n"/>
      <c r="J118" s="44">
        <f>IF($C118="","",MAX(0,$E118*$F118-$G118))</f>
        <v/>
      </c>
      <c r="K118" s="44">
        <f>IF(OR($C118="",$I118="No"),0,ROUND($J118*IFERROR(INDEX(Shows!$F$4:$F$23,MATCH($B118,Shows!$A$4:$A$23,0)),0),2))</f>
        <v/>
      </c>
      <c r="L118" s="44">
        <f>IF($C118="","",$E118*$H118)</f>
        <v/>
      </c>
      <c r="M118" s="44">
        <f>IF($C118="","",$J118-$L118-$P118)</f>
        <v/>
      </c>
      <c r="N118" s="40" t="n"/>
      <c r="O118" s="40" t="n"/>
      <c r="P118" s="44">
        <f>IF(OR($C118="",$N118&lt;&gt;"Card"),0,ROUND(($J118+$K118)*IFERROR(INDEX(Shows!$G$4:$G$23,MATCH($B118,Shows!$A$4:$A$23,0)),0)+IFERROR(INDEX(Shows!$H$4:$H$23,MATCH($B118,Shows!$A$4:$A$23,0)),0),2))</f>
        <v/>
      </c>
      <c r="Q118" s="44">
        <f>IF($C118="","",$J118+$K118-$P118)</f>
        <v/>
      </c>
      <c r="R118" s="40" t="n"/>
      <c r="S118" s="40" t="n"/>
      <c r="T118" s="40" t="n"/>
    </row>
    <row r="119">
      <c r="A119" s="48" t="n"/>
      <c r="B119" s="34" t="n"/>
      <c r="C119" s="34" t="n"/>
      <c r="D119" s="15">
        <f>IF($C119="","",IFERROR(INDEX(Inventory!$B$4:$B$253,MATCH($C119,Inventory!$A$4:$A$253,0))&amp;" "&amp;INDEX(Inventory!$C$4:$C$253,MATCH($C119,Inventory!$A$4:$A$253,0)),"SKU not in Inventory"))</f>
        <v/>
      </c>
      <c r="E119" s="36" t="n"/>
      <c r="F119" s="35" t="n"/>
      <c r="G119" s="35" t="n"/>
      <c r="H119" s="49">
        <f>IF($C119="","",IFERROR(INDEX(Inventory!$H$4:$H$253,MATCH($C119,Inventory!$A$4:$A$253,0)),0))</f>
        <v/>
      </c>
      <c r="I119" s="34" t="n"/>
      <c r="J119" s="38">
        <f>IF($C119="","",MAX(0,$E119*$F119-$G119))</f>
        <v/>
      </c>
      <c r="K119" s="38">
        <f>IF(OR($C119="",$I119="No"),0,ROUND($J119*IFERROR(INDEX(Shows!$F$4:$F$23,MATCH($B119,Shows!$A$4:$A$23,0)),0),2))</f>
        <v/>
      </c>
      <c r="L119" s="38">
        <f>IF($C119="","",$E119*$H119)</f>
        <v/>
      </c>
      <c r="M119" s="38">
        <f>IF($C119="","",$J119-$L119-$P119)</f>
        <v/>
      </c>
      <c r="N119" s="34" t="n"/>
      <c r="O119" s="34" t="n"/>
      <c r="P119" s="38">
        <f>IF(OR($C119="",$N119&lt;&gt;"Card"),0,ROUND(($J119+$K119)*IFERROR(INDEX(Shows!$G$4:$G$23,MATCH($B119,Shows!$A$4:$A$23,0)),0)+IFERROR(INDEX(Shows!$H$4:$H$23,MATCH($B119,Shows!$A$4:$A$23,0)),0),2))</f>
        <v/>
      </c>
      <c r="Q119" s="38">
        <f>IF($C119="","",$J119+$K119-$P119)</f>
        <v/>
      </c>
      <c r="R119" s="34" t="n"/>
      <c r="S119" s="34" t="n"/>
      <c r="T119" s="34" t="n"/>
    </row>
    <row r="120">
      <c r="A120" s="46" t="n"/>
      <c r="B120" s="40" t="n"/>
      <c r="C120" s="40" t="n"/>
      <c r="D120" s="11">
        <f>IF($C120="","",IFERROR(INDEX(Inventory!$B$4:$B$253,MATCH($C120,Inventory!$A$4:$A$253,0))&amp;" "&amp;INDEX(Inventory!$C$4:$C$253,MATCH($C120,Inventory!$A$4:$A$253,0)),"SKU not in Inventory"))</f>
        <v/>
      </c>
      <c r="E120" s="42" t="n"/>
      <c r="F120" s="41" t="n"/>
      <c r="G120" s="41" t="n"/>
      <c r="H120" s="47">
        <f>IF($C120="","",IFERROR(INDEX(Inventory!$H$4:$H$253,MATCH($C120,Inventory!$A$4:$A$253,0)),0))</f>
        <v/>
      </c>
      <c r="I120" s="40" t="n"/>
      <c r="J120" s="44">
        <f>IF($C120="","",MAX(0,$E120*$F120-$G120))</f>
        <v/>
      </c>
      <c r="K120" s="44">
        <f>IF(OR($C120="",$I120="No"),0,ROUND($J120*IFERROR(INDEX(Shows!$F$4:$F$23,MATCH($B120,Shows!$A$4:$A$23,0)),0),2))</f>
        <v/>
      </c>
      <c r="L120" s="44">
        <f>IF($C120="","",$E120*$H120)</f>
        <v/>
      </c>
      <c r="M120" s="44">
        <f>IF($C120="","",$J120-$L120-$P120)</f>
        <v/>
      </c>
      <c r="N120" s="40" t="n"/>
      <c r="O120" s="40" t="n"/>
      <c r="P120" s="44">
        <f>IF(OR($C120="",$N120&lt;&gt;"Card"),0,ROUND(($J120+$K120)*IFERROR(INDEX(Shows!$G$4:$G$23,MATCH($B120,Shows!$A$4:$A$23,0)),0)+IFERROR(INDEX(Shows!$H$4:$H$23,MATCH($B120,Shows!$A$4:$A$23,0)),0),2))</f>
        <v/>
      </c>
      <c r="Q120" s="44">
        <f>IF($C120="","",$J120+$K120-$P120)</f>
        <v/>
      </c>
      <c r="R120" s="40" t="n"/>
      <c r="S120" s="40" t="n"/>
      <c r="T120" s="40" t="n"/>
    </row>
    <row r="121">
      <c r="A121" s="48" t="n"/>
      <c r="B121" s="34" t="n"/>
      <c r="C121" s="34" t="n"/>
      <c r="D121" s="15">
        <f>IF($C121="","",IFERROR(INDEX(Inventory!$B$4:$B$253,MATCH($C121,Inventory!$A$4:$A$253,0))&amp;" "&amp;INDEX(Inventory!$C$4:$C$253,MATCH($C121,Inventory!$A$4:$A$253,0)),"SKU not in Inventory"))</f>
        <v/>
      </c>
      <c r="E121" s="36" t="n"/>
      <c r="F121" s="35" t="n"/>
      <c r="G121" s="35" t="n"/>
      <c r="H121" s="49">
        <f>IF($C121="","",IFERROR(INDEX(Inventory!$H$4:$H$253,MATCH($C121,Inventory!$A$4:$A$253,0)),0))</f>
        <v/>
      </c>
      <c r="I121" s="34" t="n"/>
      <c r="J121" s="38">
        <f>IF($C121="","",MAX(0,$E121*$F121-$G121))</f>
        <v/>
      </c>
      <c r="K121" s="38">
        <f>IF(OR($C121="",$I121="No"),0,ROUND($J121*IFERROR(INDEX(Shows!$F$4:$F$23,MATCH($B121,Shows!$A$4:$A$23,0)),0),2))</f>
        <v/>
      </c>
      <c r="L121" s="38">
        <f>IF($C121="","",$E121*$H121)</f>
        <v/>
      </c>
      <c r="M121" s="38">
        <f>IF($C121="","",$J121-$L121-$P121)</f>
        <v/>
      </c>
      <c r="N121" s="34" t="n"/>
      <c r="O121" s="34" t="n"/>
      <c r="P121" s="38">
        <f>IF(OR($C121="",$N121&lt;&gt;"Card"),0,ROUND(($J121+$K121)*IFERROR(INDEX(Shows!$G$4:$G$23,MATCH($B121,Shows!$A$4:$A$23,0)),0)+IFERROR(INDEX(Shows!$H$4:$H$23,MATCH($B121,Shows!$A$4:$A$23,0)),0),2))</f>
        <v/>
      </c>
      <c r="Q121" s="38">
        <f>IF($C121="","",$J121+$K121-$P121)</f>
        <v/>
      </c>
      <c r="R121" s="34" t="n"/>
      <c r="S121" s="34" t="n"/>
      <c r="T121" s="34" t="n"/>
    </row>
    <row r="122">
      <c r="A122" s="46" t="n"/>
      <c r="B122" s="40" t="n"/>
      <c r="C122" s="40" t="n"/>
      <c r="D122" s="11">
        <f>IF($C122="","",IFERROR(INDEX(Inventory!$B$4:$B$253,MATCH($C122,Inventory!$A$4:$A$253,0))&amp;" "&amp;INDEX(Inventory!$C$4:$C$253,MATCH($C122,Inventory!$A$4:$A$253,0)),"SKU not in Inventory"))</f>
        <v/>
      </c>
      <c r="E122" s="42" t="n"/>
      <c r="F122" s="41" t="n"/>
      <c r="G122" s="41" t="n"/>
      <c r="H122" s="47">
        <f>IF($C122="","",IFERROR(INDEX(Inventory!$H$4:$H$253,MATCH($C122,Inventory!$A$4:$A$253,0)),0))</f>
        <v/>
      </c>
      <c r="I122" s="40" t="n"/>
      <c r="J122" s="44">
        <f>IF($C122="","",MAX(0,$E122*$F122-$G122))</f>
        <v/>
      </c>
      <c r="K122" s="44">
        <f>IF(OR($C122="",$I122="No"),0,ROUND($J122*IFERROR(INDEX(Shows!$F$4:$F$23,MATCH($B122,Shows!$A$4:$A$23,0)),0),2))</f>
        <v/>
      </c>
      <c r="L122" s="44">
        <f>IF($C122="","",$E122*$H122)</f>
        <v/>
      </c>
      <c r="M122" s="44">
        <f>IF($C122="","",$J122-$L122-$P122)</f>
        <v/>
      </c>
      <c r="N122" s="40" t="n"/>
      <c r="O122" s="40" t="n"/>
      <c r="P122" s="44">
        <f>IF(OR($C122="",$N122&lt;&gt;"Card"),0,ROUND(($J122+$K122)*IFERROR(INDEX(Shows!$G$4:$G$23,MATCH($B122,Shows!$A$4:$A$23,0)),0)+IFERROR(INDEX(Shows!$H$4:$H$23,MATCH($B122,Shows!$A$4:$A$23,0)),0),2))</f>
        <v/>
      </c>
      <c r="Q122" s="44">
        <f>IF($C122="","",$J122+$K122-$P122)</f>
        <v/>
      </c>
      <c r="R122" s="40" t="n"/>
      <c r="S122" s="40" t="n"/>
      <c r="T122" s="40" t="n"/>
    </row>
    <row r="123">
      <c r="A123" s="48" t="n"/>
      <c r="B123" s="34" t="n"/>
      <c r="C123" s="34" t="n"/>
      <c r="D123" s="15">
        <f>IF($C123="","",IFERROR(INDEX(Inventory!$B$4:$B$253,MATCH($C123,Inventory!$A$4:$A$253,0))&amp;" "&amp;INDEX(Inventory!$C$4:$C$253,MATCH($C123,Inventory!$A$4:$A$253,0)),"SKU not in Inventory"))</f>
        <v/>
      </c>
      <c r="E123" s="36" t="n"/>
      <c r="F123" s="35" t="n"/>
      <c r="G123" s="35" t="n"/>
      <c r="H123" s="49">
        <f>IF($C123="","",IFERROR(INDEX(Inventory!$H$4:$H$253,MATCH($C123,Inventory!$A$4:$A$253,0)),0))</f>
        <v/>
      </c>
      <c r="I123" s="34" t="n"/>
      <c r="J123" s="38">
        <f>IF($C123="","",MAX(0,$E123*$F123-$G123))</f>
        <v/>
      </c>
      <c r="K123" s="38">
        <f>IF(OR($C123="",$I123="No"),0,ROUND($J123*IFERROR(INDEX(Shows!$F$4:$F$23,MATCH($B123,Shows!$A$4:$A$23,0)),0),2))</f>
        <v/>
      </c>
      <c r="L123" s="38">
        <f>IF($C123="","",$E123*$H123)</f>
        <v/>
      </c>
      <c r="M123" s="38">
        <f>IF($C123="","",$J123-$L123-$P123)</f>
        <v/>
      </c>
      <c r="N123" s="34" t="n"/>
      <c r="O123" s="34" t="n"/>
      <c r="P123" s="38">
        <f>IF(OR($C123="",$N123&lt;&gt;"Card"),0,ROUND(($J123+$K123)*IFERROR(INDEX(Shows!$G$4:$G$23,MATCH($B123,Shows!$A$4:$A$23,0)),0)+IFERROR(INDEX(Shows!$H$4:$H$23,MATCH($B123,Shows!$A$4:$A$23,0)),0),2))</f>
        <v/>
      </c>
      <c r="Q123" s="38">
        <f>IF($C123="","",$J123+$K123-$P123)</f>
        <v/>
      </c>
      <c r="R123" s="34" t="n"/>
      <c r="S123" s="34" t="n"/>
      <c r="T123" s="34" t="n"/>
    </row>
    <row r="124">
      <c r="A124" s="46" t="n"/>
      <c r="B124" s="40" t="n"/>
      <c r="C124" s="40" t="n"/>
      <c r="D124" s="11">
        <f>IF($C124="","",IFERROR(INDEX(Inventory!$B$4:$B$253,MATCH($C124,Inventory!$A$4:$A$253,0))&amp;" "&amp;INDEX(Inventory!$C$4:$C$253,MATCH($C124,Inventory!$A$4:$A$253,0)),"SKU not in Inventory"))</f>
        <v/>
      </c>
      <c r="E124" s="42" t="n"/>
      <c r="F124" s="41" t="n"/>
      <c r="G124" s="41" t="n"/>
      <c r="H124" s="47">
        <f>IF($C124="","",IFERROR(INDEX(Inventory!$H$4:$H$253,MATCH($C124,Inventory!$A$4:$A$253,0)),0))</f>
        <v/>
      </c>
      <c r="I124" s="40" t="n"/>
      <c r="J124" s="44">
        <f>IF($C124="","",MAX(0,$E124*$F124-$G124))</f>
        <v/>
      </c>
      <c r="K124" s="44">
        <f>IF(OR($C124="",$I124="No"),0,ROUND($J124*IFERROR(INDEX(Shows!$F$4:$F$23,MATCH($B124,Shows!$A$4:$A$23,0)),0),2))</f>
        <v/>
      </c>
      <c r="L124" s="44">
        <f>IF($C124="","",$E124*$H124)</f>
        <v/>
      </c>
      <c r="M124" s="44">
        <f>IF($C124="","",$J124-$L124-$P124)</f>
        <v/>
      </c>
      <c r="N124" s="40" t="n"/>
      <c r="O124" s="40" t="n"/>
      <c r="P124" s="44">
        <f>IF(OR($C124="",$N124&lt;&gt;"Card"),0,ROUND(($J124+$K124)*IFERROR(INDEX(Shows!$G$4:$G$23,MATCH($B124,Shows!$A$4:$A$23,0)),0)+IFERROR(INDEX(Shows!$H$4:$H$23,MATCH($B124,Shows!$A$4:$A$23,0)),0),2))</f>
        <v/>
      </c>
      <c r="Q124" s="44">
        <f>IF($C124="","",$J124+$K124-$P124)</f>
        <v/>
      </c>
      <c r="R124" s="40" t="n"/>
      <c r="S124" s="40" t="n"/>
      <c r="T124" s="40" t="n"/>
    </row>
    <row r="125">
      <c r="A125" s="48" t="n"/>
      <c r="B125" s="34" t="n"/>
      <c r="C125" s="34" t="n"/>
      <c r="D125" s="15">
        <f>IF($C125="","",IFERROR(INDEX(Inventory!$B$4:$B$253,MATCH($C125,Inventory!$A$4:$A$253,0))&amp;" "&amp;INDEX(Inventory!$C$4:$C$253,MATCH($C125,Inventory!$A$4:$A$253,0)),"SKU not in Inventory"))</f>
        <v/>
      </c>
      <c r="E125" s="36" t="n"/>
      <c r="F125" s="35" t="n"/>
      <c r="G125" s="35" t="n"/>
      <c r="H125" s="49">
        <f>IF($C125="","",IFERROR(INDEX(Inventory!$H$4:$H$253,MATCH($C125,Inventory!$A$4:$A$253,0)),0))</f>
        <v/>
      </c>
      <c r="I125" s="34" t="n"/>
      <c r="J125" s="38">
        <f>IF($C125="","",MAX(0,$E125*$F125-$G125))</f>
        <v/>
      </c>
      <c r="K125" s="38">
        <f>IF(OR($C125="",$I125="No"),0,ROUND($J125*IFERROR(INDEX(Shows!$F$4:$F$23,MATCH($B125,Shows!$A$4:$A$23,0)),0),2))</f>
        <v/>
      </c>
      <c r="L125" s="38">
        <f>IF($C125="","",$E125*$H125)</f>
        <v/>
      </c>
      <c r="M125" s="38">
        <f>IF($C125="","",$J125-$L125-$P125)</f>
        <v/>
      </c>
      <c r="N125" s="34" t="n"/>
      <c r="O125" s="34" t="n"/>
      <c r="P125" s="38">
        <f>IF(OR($C125="",$N125&lt;&gt;"Card"),0,ROUND(($J125+$K125)*IFERROR(INDEX(Shows!$G$4:$G$23,MATCH($B125,Shows!$A$4:$A$23,0)),0)+IFERROR(INDEX(Shows!$H$4:$H$23,MATCH($B125,Shows!$A$4:$A$23,0)),0),2))</f>
        <v/>
      </c>
      <c r="Q125" s="38">
        <f>IF($C125="","",$J125+$K125-$P125)</f>
        <v/>
      </c>
      <c r="R125" s="34" t="n"/>
      <c r="S125" s="34" t="n"/>
      <c r="T125" s="34" t="n"/>
    </row>
    <row r="126">
      <c r="A126" s="46" t="n"/>
      <c r="B126" s="40" t="n"/>
      <c r="C126" s="40" t="n"/>
      <c r="D126" s="11">
        <f>IF($C126="","",IFERROR(INDEX(Inventory!$B$4:$B$253,MATCH($C126,Inventory!$A$4:$A$253,0))&amp;" "&amp;INDEX(Inventory!$C$4:$C$253,MATCH($C126,Inventory!$A$4:$A$253,0)),"SKU not in Inventory"))</f>
        <v/>
      </c>
      <c r="E126" s="42" t="n"/>
      <c r="F126" s="41" t="n"/>
      <c r="G126" s="41" t="n"/>
      <c r="H126" s="47">
        <f>IF($C126="","",IFERROR(INDEX(Inventory!$H$4:$H$253,MATCH($C126,Inventory!$A$4:$A$253,0)),0))</f>
        <v/>
      </c>
      <c r="I126" s="40" t="n"/>
      <c r="J126" s="44">
        <f>IF($C126="","",MAX(0,$E126*$F126-$G126))</f>
        <v/>
      </c>
      <c r="K126" s="44">
        <f>IF(OR($C126="",$I126="No"),0,ROUND($J126*IFERROR(INDEX(Shows!$F$4:$F$23,MATCH($B126,Shows!$A$4:$A$23,0)),0),2))</f>
        <v/>
      </c>
      <c r="L126" s="44">
        <f>IF($C126="","",$E126*$H126)</f>
        <v/>
      </c>
      <c r="M126" s="44">
        <f>IF($C126="","",$J126-$L126-$P126)</f>
        <v/>
      </c>
      <c r="N126" s="40" t="n"/>
      <c r="O126" s="40" t="n"/>
      <c r="P126" s="44">
        <f>IF(OR($C126="",$N126&lt;&gt;"Card"),0,ROUND(($J126+$K126)*IFERROR(INDEX(Shows!$G$4:$G$23,MATCH($B126,Shows!$A$4:$A$23,0)),0)+IFERROR(INDEX(Shows!$H$4:$H$23,MATCH($B126,Shows!$A$4:$A$23,0)),0),2))</f>
        <v/>
      </c>
      <c r="Q126" s="44">
        <f>IF($C126="","",$J126+$K126-$P126)</f>
        <v/>
      </c>
      <c r="R126" s="40" t="n"/>
      <c r="S126" s="40" t="n"/>
      <c r="T126" s="40" t="n"/>
    </row>
    <row r="127">
      <c r="A127" s="48" t="n"/>
      <c r="B127" s="34" t="n"/>
      <c r="C127" s="34" t="n"/>
      <c r="D127" s="15">
        <f>IF($C127="","",IFERROR(INDEX(Inventory!$B$4:$B$253,MATCH($C127,Inventory!$A$4:$A$253,0))&amp;" "&amp;INDEX(Inventory!$C$4:$C$253,MATCH($C127,Inventory!$A$4:$A$253,0)),"SKU not in Inventory"))</f>
        <v/>
      </c>
      <c r="E127" s="36" t="n"/>
      <c r="F127" s="35" t="n"/>
      <c r="G127" s="35" t="n"/>
      <c r="H127" s="49">
        <f>IF($C127="","",IFERROR(INDEX(Inventory!$H$4:$H$253,MATCH($C127,Inventory!$A$4:$A$253,0)),0))</f>
        <v/>
      </c>
      <c r="I127" s="34" t="n"/>
      <c r="J127" s="38">
        <f>IF($C127="","",MAX(0,$E127*$F127-$G127))</f>
        <v/>
      </c>
      <c r="K127" s="38">
        <f>IF(OR($C127="",$I127="No"),0,ROUND($J127*IFERROR(INDEX(Shows!$F$4:$F$23,MATCH($B127,Shows!$A$4:$A$23,0)),0),2))</f>
        <v/>
      </c>
      <c r="L127" s="38">
        <f>IF($C127="","",$E127*$H127)</f>
        <v/>
      </c>
      <c r="M127" s="38">
        <f>IF($C127="","",$J127-$L127-$P127)</f>
        <v/>
      </c>
      <c r="N127" s="34" t="n"/>
      <c r="O127" s="34" t="n"/>
      <c r="P127" s="38">
        <f>IF(OR($C127="",$N127&lt;&gt;"Card"),0,ROUND(($J127+$K127)*IFERROR(INDEX(Shows!$G$4:$G$23,MATCH($B127,Shows!$A$4:$A$23,0)),0)+IFERROR(INDEX(Shows!$H$4:$H$23,MATCH($B127,Shows!$A$4:$A$23,0)),0),2))</f>
        <v/>
      </c>
      <c r="Q127" s="38">
        <f>IF($C127="","",$J127+$K127-$P127)</f>
        <v/>
      </c>
      <c r="R127" s="34" t="n"/>
      <c r="S127" s="34" t="n"/>
      <c r="T127" s="34" t="n"/>
    </row>
    <row r="128">
      <c r="A128" s="46" t="n"/>
      <c r="B128" s="40" t="n"/>
      <c r="C128" s="40" t="n"/>
      <c r="D128" s="11">
        <f>IF($C128="","",IFERROR(INDEX(Inventory!$B$4:$B$253,MATCH($C128,Inventory!$A$4:$A$253,0))&amp;" "&amp;INDEX(Inventory!$C$4:$C$253,MATCH($C128,Inventory!$A$4:$A$253,0)),"SKU not in Inventory"))</f>
        <v/>
      </c>
      <c r="E128" s="42" t="n"/>
      <c r="F128" s="41" t="n"/>
      <c r="G128" s="41" t="n"/>
      <c r="H128" s="47">
        <f>IF($C128="","",IFERROR(INDEX(Inventory!$H$4:$H$253,MATCH($C128,Inventory!$A$4:$A$253,0)),0))</f>
        <v/>
      </c>
      <c r="I128" s="40" t="n"/>
      <c r="J128" s="44">
        <f>IF($C128="","",MAX(0,$E128*$F128-$G128))</f>
        <v/>
      </c>
      <c r="K128" s="44">
        <f>IF(OR($C128="",$I128="No"),0,ROUND($J128*IFERROR(INDEX(Shows!$F$4:$F$23,MATCH($B128,Shows!$A$4:$A$23,0)),0),2))</f>
        <v/>
      </c>
      <c r="L128" s="44">
        <f>IF($C128="","",$E128*$H128)</f>
        <v/>
      </c>
      <c r="M128" s="44">
        <f>IF($C128="","",$J128-$L128-$P128)</f>
        <v/>
      </c>
      <c r="N128" s="40" t="n"/>
      <c r="O128" s="40" t="n"/>
      <c r="P128" s="44">
        <f>IF(OR($C128="",$N128&lt;&gt;"Card"),0,ROUND(($J128+$K128)*IFERROR(INDEX(Shows!$G$4:$G$23,MATCH($B128,Shows!$A$4:$A$23,0)),0)+IFERROR(INDEX(Shows!$H$4:$H$23,MATCH($B128,Shows!$A$4:$A$23,0)),0),2))</f>
        <v/>
      </c>
      <c r="Q128" s="44">
        <f>IF($C128="","",$J128+$K128-$P128)</f>
        <v/>
      </c>
      <c r="R128" s="40" t="n"/>
      <c r="S128" s="40" t="n"/>
      <c r="T128" s="40" t="n"/>
    </row>
    <row r="129">
      <c r="A129" s="48" t="n"/>
      <c r="B129" s="34" t="n"/>
      <c r="C129" s="34" t="n"/>
      <c r="D129" s="15">
        <f>IF($C129="","",IFERROR(INDEX(Inventory!$B$4:$B$253,MATCH($C129,Inventory!$A$4:$A$253,0))&amp;" "&amp;INDEX(Inventory!$C$4:$C$253,MATCH($C129,Inventory!$A$4:$A$253,0)),"SKU not in Inventory"))</f>
        <v/>
      </c>
      <c r="E129" s="36" t="n"/>
      <c r="F129" s="35" t="n"/>
      <c r="G129" s="35" t="n"/>
      <c r="H129" s="49">
        <f>IF($C129="","",IFERROR(INDEX(Inventory!$H$4:$H$253,MATCH($C129,Inventory!$A$4:$A$253,0)),0))</f>
        <v/>
      </c>
      <c r="I129" s="34" t="n"/>
      <c r="J129" s="38">
        <f>IF($C129="","",MAX(0,$E129*$F129-$G129))</f>
        <v/>
      </c>
      <c r="K129" s="38">
        <f>IF(OR($C129="",$I129="No"),0,ROUND($J129*IFERROR(INDEX(Shows!$F$4:$F$23,MATCH($B129,Shows!$A$4:$A$23,0)),0),2))</f>
        <v/>
      </c>
      <c r="L129" s="38">
        <f>IF($C129="","",$E129*$H129)</f>
        <v/>
      </c>
      <c r="M129" s="38">
        <f>IF($C129="","",$J129-$L129-$P129)</f>
        <v/>
      </c>
      <c r="N129" s="34" t="n"/>
      <c r="O129" s="34" t="n"/>
      <c r="P129" s="38">
        <f>IF(OR($C129="",$N129&lt;&gt;"Card"),0,ROUND(($J129+$K129)*IFERROR(INDEX(Shows!$G$4:$G$23,MATCH($B129,Shows!$A$4:$A$23,0)),0)+IFERROR(INDEX(Shows!$H$4:$H$23,MATCH($B129,Shows!$A$4:$A$23,0)),0),2))</f>
        <v/>
      </c>
      <c r="Q129" s="38">
        <f>IF($C129="","",$J129+$K129-$P129)</f>
        <v/>
      </c>
      <c r="R129" s="34" t="n"/>
      <c r="S129" s="34" t="n"/>
      <c r="T129" s="34" t="n"/>
    </row>
    <row r="130">
      <c r="A130" s="46" t="n"/>
      <c r="B130" s="40" t="n"/>
      <c r="C130" s="40" t="n"/>
      <c r="D130" s="11">
        <f>IF($C130="","",IFERROR(INDEX(Inventory!$B$4:$B$253,MATCH($C130,Inventory!$A$4:$A$253,0))&amp;" "&amp;INDEX(Inventory!$C$4:$C$253,MATCH($C130,Inventory!$A$4:$A$253,0)),"SKU not in Inventory"))</f>
        <v/>
      </c>
      <c r="E130" s="42" t="n"/>
      <c r="F130" s="41" t="n"/>
      <c r="G130" s="41" t="n"/>
      <c r="H130" s="47">
        <f>IF($C130="","",IFERROR(INDEX(Inventory!$H$4:$H$253,MATCH($C130,Inventory!$A$4:$A$253,0)),0))</f>
        <v/>
      </c>
      <c r="I130" s="40" t="n"/>
      <c r="J130" s="44">
        <f>IF($C130="","",MAX(0,$E130*$F130-$G130))</f>
        <v/>
      </c>
      <c r="K130" s="44">
        <f>IF(OR($C130="",$I130="No"),0,ROUND($J130*IFERROR(INDEX(Shows!$F$4:$F$23,MATCH($B130,Shows!$A$4:$A$23,0)),0),2))</f>
        <v/>
      </c>
      <c r="L130" s="44">
        <f>IF($C130="","",$E130*$H130)</f>
        <v/>
      </c>
      <c r="M130" s="44">
        <f>IF($C130="","",$J130-$L130-$P130)</f>
        <v/>
      </c>
      <c r="N130" s="40" t="n"/>
      <c r="O130" s="40" t="n"/>
      <c r="P130" s="44">
        <f>IF(OR($C130="",$N130&lt;&gt;"Card"),0,ROUND(($J130+$K130)*IFERROR(INDEX(Shows!$G$4:$G$23,MATCH($B130,Shows!$A$4:$A$23,0)),0)+IFERROR(INDEX(Shows!$H$4:$H$23,MATCH($B130,Shows!$A$4:$A$23,0)),0),2))</f>
        <v/>
      </c>
      <c r="Q130" s="44">
        <f>IF($C130="","",$J130+$K130-$P130)</f>
        <v/>
      </c>
      <c r="R130" s="40" t="n"/>
      <c r="S130" s="40" t="n"/>
      <c r="T130" s="40" t="n"/>
    </row>
    <row r="131">
      <c r="A131" s="48" t="n"/>
      <c r="B131" s="34" t="n"/>
      <c r="C131" s="34" t="n"/>
      <c r="D131" s="15">
        <f>IF($C131="","",IFERROR(INDEX(Inventory!$B$4:$B$253,MATCH($C131,Inventory!$A$4:$A$253,0))&amp;" "&amp;INDEX(Inventory!$C$4:$C$253,MATCH($C131,Inventory!$A$4:$A$253,0)),"SKU not in Inventory"))</f>
        <v/>
      </c>
      <c r="E131" s="36" t="n"/>
      <c r="F131" s="35" t="n"/>
      <c r="G131" s="35" t="n"/>
      <c r="H131" s="49">
        <f>IF($C131="","",IFERROR(INDEX(Inventory!$H$4:$H$253,MATCH($C131,Inventory!$A$4:$A$253,0)),0))</f>
        <v/>
      </c>
      <c r="I131" s="34" t="n"/>
      <c r="J131" s="38">
        <f>IF($C131="","",MAX(0,$E131*$F131-$G131))</f>
        <v/>
      </c>
      <c r="K131" s="38">
        <f>IF(OR($C131="",$I131="No"),0,ROUND($J131*IFERROR(INDEX(Shows!$F$4:$F$23,MATCH($B131,Shows!$A$4:$A$23,0)),0),2))</f>
        <v/>
      </c>
      <c r="L131" s="38">
        <f>IF($C131="","",$E131*$H131)</f>
        <v/>
      </c>
      <c r="M131" s="38">
        <f>IF($C131="","",$J131-$L131-$P131)</f>
        <v/>
      </c>
      <c r="N131" s="34" t="n"/>
      <c r="O131" s="34" t="n"/>
      <c r="P131" s="38">
        <f>IF(OR($C131="",$N131&lt;&gt;"Card"),0,ROUND(($J131+$K131)*IFERROR(INDEX(Shows!$G$4:$G$23,MATCH($B131,Shows!$A$4:$A$23,0)),0)+IFERROR(INDEX(Shows!$H$4:$H$23,MATCH($B131,Shows!$A$4:$A$23,0)),0),2))</f>
        <v/>
      </c>
      <c r="Q131" s="38">
        <f>IF($C131="","",$J131+$K131-$P131)</f>
        <v/>
      </c>
      <c r="R131" s="34" t="n"/>
      <c r="S131" s="34" t="n"/>
      <c r="T131" s="34" t="n"/>
    </row>
    <row r="132">
      <c r="A132" s="46" t="n"/>
      <c r="B132" s="40" t="n"/>
      <c r="C132" s="40" t="n"/>
      <c r="D132" s="11">
        <f>IF($C132="","",IFERROR(INDEX(Inventory!$B$4:$B$253,MATCH($C132,Inventory!$A$4:$A$253,0))&amp;" "&amp;INDEX(Inventory!$C$4:$C$253,MATCH($C132,Inventory!$A$4:$A$253,0)),"SKU not in Inventory"))</f>
        <v/>
      </c>
      <c r="E132" s="42" t="n"/>
      <c r="F132" s="41" t="n"/>
      <c r="G132" s="41" t="n"/>
      <c r="H132" s="47">
        <f>IF($C132="","",IFERROR(INDEX(Inventory!$H$4:$H$253,MATCH($C132,Inventory!$A$4:$A$253,0)),0))</f>
        <v/>
      </c>
      <c r="I132" s="40" t="n"/>
      <c r="J132" s="44">
        <f>IF($C132="","",MAX(0,$E132*$F132-$G132))</f>
        <v/>
      </c>
      <c r="K132" s="44">
        <f>IF(OR($C132="",$I132="No"),0,ROUND($J132*IFERROR(INDEX(Shows!$F$4:$F$23,MATCH($B132,Shows!$A$4:$A$23,0)),0),2))</f>
        <v/>
      </c>
      <c r="L132" s="44">
        <f>IF($C132="","",$E132*$H132)</f>
        <v/>
      </c>
      <c r="M132" s="44">
        <f>IF($C132="","",$J132-$L132-$P132)</f>
        <v/>
      </c>
      <c r="N132" s="40" t="n"/>
      <c r="O132" s="40" t="n"/>
      <c r="P132" s="44">
        <f>IF(OR($C132="",$N132&lt;&gt;"Card"),0,ROUND(($J132+$K132)*IFERROR(INDEX(Shows!$G$4:$G$23,MATCH($B132,Shows!$A$4:$A$23,0)),0)+IFERROR(INDEX(Shows!$H$4:$H$23,MATCH($B132,Shows!$A$4:$A$23,0)),0),2))</f>
        <v/>
      </c>
      <c r="Q132" s="44">
        <f>IF($C132="","",$J132+$K132-$P132)</f>
        <v/>
      </c>
      <c r="R132" s="40" t="n"/>
      <c r="S132" s="40" t="n"/>
      <c r="T132" s="40" t="n"/>
    </row>
    <row r="133">
      <c r="A133" s="48" t="n"/>
      <c r="B133" s="34" t="n"/>
      <c r="C133" s="34" t="n"/>
      <c r="D133" s="15">
        <f>IF($C133="","",IFERROR(INDEX(Inventory!$B$4:$B$253,MATCH($C133,Inventory!$A$4:$A$253,0))&amp;" "&amp;INDEX(Inventory!$C$4:$C$253,MATCH($C133,Inventory!$A$4:$A$253,0)),"SKU not in Inventory"))</f>
        <v/>
      </c>
      <c r="E133" s="36" t="n"/>
      <c r="F133" s="35" t="n"/>
      <c r="G133" s="35" t="n"/>
      <c r="H133" s="49">
        <f>IF($C133="","",IFERROR(INDEX(Inventory!$H$4:$H$253,MATCH($C133,Inventory!$A$4:$A$253,0)),0))</f>
        <v/>
      </c>
      <c r="I133" s="34" t="n"/>
      <c r="J133" s="38">
        <f>IF($C133="","",MAX(0,$E133*$F133-$G133))</f>
        <v/>
      </c>
      <c r="K133" s="38">
        <f>IF(OR($C133="",$I133="No"),0,ROUND($J133*IFERROR(INDEX(Shows!$F$4:$F$23,MATCH($B133,Shows!$A$4:$A$23,0)),0),2))</f>
        <v/>
      </c>
      <c r="L133" s="38">
        <f>IF($C133="","",$E133*$H133)</f>
        <v/>
      </c>
      <c r="M133" s="38">
        <f>IF($C133="","",$J133-$L133-$P133)</f>
        <v/>
      </c>
      <c r="N133" s="34" t="n"/>
      <c r="O133" s="34" t="n"/>
      <c r="P133" s="38">
        <f>IF(OR($C133="",$N133&lt;&gt;"Card"),0,ROUND(($J133+$K133)*IFERROR(INDEX(Shows!$G$4:$G$23,MATCH($B133,Shows!$A$4:$A$23,0)),0)+IFERROR(INDEX(Shows!$H$4:$H$23,MATCH($B133,Shows!$A$4:$A$23,0)),0),2))</f>
        <v/>
      </c>
      <c r="Q133" s="38">
        <f>IF($C133="","",$J133+$K133-$P133)</f>
        <v/>
      </c>
      <c r="R133" s="34" t="n"/>
      <c r="S133" s="34" t="n"/>
      <c r="T133" s="34" t="n"/>
    </row>
    <row r="134">
      <c r="A134" s="46" t="n"/>
      <c r="B134" s="40" t="n"/>
      <c r="C134" s="40" t="n"/>
      <c r="D134" s="11">
        <f>IF($C134="","",IFERROR(INDEX(Inventory!$B$4:$B$253,MATCH($C134,Inventory!$A$4:$A$253,0))&amp;" "&amp;INDEX(Inventory!$C$4:$C$253,MATCH($C134,Inventory!$A$4:$A$253,0)),"SKU not in Inventory"))</f>
        <v/>
      </c>
      <c r="E134" s="42" t="n"/>
      <c r="F134" s="41" t="n"/>
      <c r="G134" s="41" t="n"/>
      <c r="H134" s="47">
        <f>IF($C134="","",IFERROR(INDEX(Inventory!$H$4:$H$253,MATCH($C134,Inventory!$A$4:$A$253,0)),0))</f>
        <v/>
      </c>
      <c r="I134" s="40" t="n"/>
      <c r="J134" s="44">
        <f>IF($C134="","",MAX(0,$E134*$F134-$G134))</f>
        <v/>
      </c>
      <c r="K134" s="44">
        <f>IF(OR($C134="",$I134="No"),0,ROUND($J134*IFERROR(INDEX(Shows!$F$4:$F$23,MATCH($B134,Shows!$A$4:$A$23,0)),0),2))</f>
        <v/>
      </c>
      <c r="L134" s="44">
        <f>IF($C134="","",$E134*$H134)</f>
        <v/>
      </c>
      <c r="M134" s="44">
        <f>IF($C134="","",$J134-$L134-$P134)</f>
        <v/>
      </c>
      <c r="N134" s="40" t="n"/>
      <c r="O134" s="40" t="n"/>
      <c r="P134" s="44">
        <f>IF(OR($C134="",$N134&lt;&gt;"Card"),0,ROUND(($J134+$K134)*IFERROR(INDEX(Shows!$G$4:$G$23,MATCH($B134,Shows!$A$4:$A$23,0)),0)+IFERROR(INDEX(Shows!$H$4:$H$23,MATCH($B134,Shows!$A$4:$A$23,0)),0),2))</f>
        <v/>
      </c>
      <c r="Q134" s="44">
        <f>IF($C134="","",$J134+$K134-$P134)</f>
        <v/>
      </c>
      <c r="R134" s="40" t="n"/>
      <c r="S134" s="40" t="n"/>
      <c r="T134" s="40" t="n"/>
    </row>
    <row r="135">
      <c r="A135" s="48" t="n"/>
      <c r="B135" s="34" t="n"/>
      <c r="C135" s="34" t="n"/>
      <c r="D135" s="15">
        <f>IF($C135="","",IFERROR(INDEX(Inventory!$B$4:$B$253,MATCH($C135,Inventory!$A$4:$A$253,0))&amp;" "&amp;INDEX(Inventory!$C$4:$C$253,MATCH($C135,Inventory!$A$4:$A$253,0)),"SKU not in Inventory"))</f>
        <v/>
      </c>
      <c r="E135" s="36" t="n"/>
      <c r="F135" s="35" t="n"/>
      <c r="G135" s="35" t="n"/>
      <c r="H135" s="49">
        <f>IF($C135="","",IFERROR(INDEX(Inventory!$H$4:$H$253,MATCH($C135,Inventory!$A$4:$A$253,0)),0))</f>
        <v/>
      </c>
      <c r="I135" s="34" t="n"/>
      <c r="J135" s="38">
        <f>IF($C135="","",MAX(0,$E135*$F135-$G135))</f>
        <v/>
      </c>
      <c r="K135" s="38">
        <f>IF(OR($C135="",$I135="No"),0,ROUND($J135*IFERROR(INDEX(Shows!$F$4:$F$23,MATCH($B135,Shows!$A$4:$A$23,0)),0),2))</f>
        <v/>
      </c>
      <c r="L135" s="38">
        <f>IF($C135="","",$E135*$H135)</f>
        <v/>
      </c>
      <c r="M135" s="38">
        <f>IF($C135="","",$J135-$L135-$P135)</f>
        <v/>
      </c>
      <c r="N135" s="34" t="n"/>
      <c r="O135" s="34" t="n"/>
      <c r="P135" s="38">
        <f>IF(OR($C135="",$N135&lt;&gt;"Card"),0,ROUND(($J135+$K135)*IFERROR(INDEX(Shows!$G$4:$G$23,MATCH($B135,Shows!$A$4:$A$23,0)),0)+IFERROR(INDEX(Shows!$H$4:$H$23,MATCH($B135,Shows!$A$4:$A$23,0)),0),2))</f>
        <v/>
      </c>
      <c r="Q135" s="38">
        <f>IF($C135="","",$J135+$K135-$P135)</f>
        <v/>
      </c>
      <c r="R135" s="34" t="n"/>
      <c r="S135" s="34" t="n"/>
      <c r="T135" s="34" t="n"/>
    </row>
    <row r="136">
      <c r="A136" s="46" t="n"/>
      <c r="B136" s="40" t="n"/>
      <c r="C136" s="40" t="n"/>
      <c r="D136" s="11">
        <f>IF($C136="","",IFERROR(INDEX(Inventory!$B$4:$B$253,MATCH($C136,Inventory!$A$4:$A$253,0))&amp;" "&amp;INDEX(Inventory!$C$4:$C$253,MATCH($C136,Inventory!$A$4:$A$253,0)),"SKU not in Inventory"))</f>
        <v/>
      </c>
      <c r="E136" s="42" t="n"/>
      <c r="F136" s="41" t="n"/>
      <c r="G136" s="41" t="n"/>
      <c r="H136" s="47">
        <f>IF($C136="","",IFERROR(INDEX(Inventory!$H$4:$H$253,MATCH($C136,Inventory!$A$4:$A$253,0)),0))</f>
        <v/>
      </c>
      <c r="I136" s="40" t="n"/>
      <c r="J136" s="44">
        <f>IF($C136="","",MAX(0,$E136*$F136-$G136))</f>
        <v/>
      </c>
      <c r="K136" s="44">
        <f>IF(OR($C136="",$I136="No"),0,ROUND($J136*IFERROR(INDEX(Shows!$F$4:$F$23,MATCH($B136,Shows!$A$4:$A$23,0)),0),2))</f>
        <v/>
      </c>
      <c r="L136" s="44">
        <f>IF($C136="","",$E136*$H136)</f>
        <v/>
      </c>
      <c r="M136" s="44">
        <f>IF($C136="","",$J136-$L136-$P136)</f>
        <v/>
      </c>
      <c r="N136" s="40" t="n"/>
      <c r="O136" s="40" t="n"/>
      <c r="P136" s="44">
        <f>IF(OR($C136="",$N136&lt;&gt;"Card"),0,ROUND(($J136+$K136)*IFERROR(INDEX(Shows!$G$4:$G$23,MATCH($B136,Shows!$A$4:$A$23,0)),0)+IFERROR(INDEX(Shows!$H$4:$H$23,MATCH($B136,Shows!$A$4:$A$23,0)),0),2))</f>
        <v/>
      </c>
      <c r="Q136" s="44">
        <f>IF($C136="","",$J136+$K136-$P136)</f>
        <v/>
      </c>
      <c r="R136" s="40" t="n"/>
      <c r="S136" s="40" t="n"/>
      <c r="T136" s="40" t="n"/>
    </row>
    <row r="137">
      <c r="A137" s="48" t="n"/>
      <c r="B137" s="34" t="n"/>
      <c r="C137" s="34" t="n"/>
      <c r="D137" s="15">
        <f>IF($C137="","",IFERROR(INDEX(Inventory!$B$4:$B$253,MATCH($C137,Inventory!$A$4:$A$253,0))&amp;" "&amp;INDEX(Inventory!$C$4:$C$253,MATCH($C137,Inventory!$A$4:$A$253,0)),"SKU not in Inventory"))</f>
        <v/>
      </c>
      <c r="E137" s="36" t="n"/>
      <c r="F137" s="35" t="n"/>
      <c r="G137" s="35" t="n"/>
      <c r="H137" s="49">
        <f>IF($C137="","",IFERROR(INDEX(Inventory!$H$4:$H$253,MATCH($C137,Inventory!$A$4:$A$253,0)),0))</f>
        <v/>
      </c>
      <c r="I137" s="34" t="n"/>
      <c r="J137" s="38">
        <f>IF($C137="","",MAX(0,$E137*$F137-$G137))</f>
        <v/>
      </c>
      <c r="K137" s="38">
        <f>IF(OR($C137="",$I137="No"),0,ROUND($J137*IFERROR(INDEX(Shows!$F$4:$F$23,MATCH($B137,Shows!$A$4:$A$23,0)),0),2))</f>
        <v/>
      </c>
      <c r="L137" s="38">
        <f>IF($C137="","",$E137*$H137)</f>
        <v/>
      </c>
      <c r="M137" s="38">
        <f>IF($C137="","",$J137-$L137-$P137)</f>
        <v/>
      </c>
      <c r="N137" s="34" t="n"/>
      <c r="O137" s="34" t="n"/>
      <c r="P137" s="38">
        <f>IF(OR($C137="",$N137&lt;&gt;"Card"),0,ROUND(($J137+$K137)*IFERROR(INDEX(Shows!$G$4:$G$23,MATCH($B137,Shows!$A$4:$A$23,0)),0)+IFERROR(INDEX(Shows!$H$4:$H$23,MATCH($B137,Shows!$A$4:$A$23,0)),0),2))</f>
        <v/>
      </c>
      <c r="Q137" s="38">
        <f>IF($C137="","",$J137+$K137-$P137)</f>
        <v/>
      </c>
      <c r="R137" s="34" t="n"/>
      <c r="S137" s="34" t="n"/>
      <c r="T137" s="34" t="n"/>
    </row>
    <row r="138">
      <c r="A138" s="46" t="n"/>
      <c r="B138" s="40" t="n"/>
      <c r="C138" s="40" t="n"/>
      <c r="D138" s="11">
        <f>IF($C138="","",IFERROR(INDEX(Inventory!$B$4:$B$253,MATCH($C138,Inventory!$A$4:$A$253,0))&amp;" "&amp;INDEX(Inventory!$C$4:$C$253,MATCH($C138,Inventory!$A$4:$A$253,0)),"SKU not in Inventory"))</f>
        <v/>
      </c>
      <c r="E138" s="42" t="n"/>
      <c r="F138" s="41" t="n"/>
      <c r="G138" s="41" t="n"/>
      <c r="H138" s="47">
        <f>IF($C138="","",IFERROR(INDEX(Inventory!$H$4:$H$253,MATCH($C138,Inventory!$A$4:$A$253,0)),0))</f>
        <v/>
      </c>
      <c r="I138" s="40" t="n"/>
      <c r="J138" s="44">
        <f>IF($C138="","",MAX(0,$E138*$F138-$G138))</f>
        <v/>
      </c>
      <c r="K138" s="44">
        <f>IF(OR($C138="",$I138="No"),0,ROUND($J138*IFERROR(INDEX(Shows!$F$4:$F$23,MATCH($B138,Shows!$A$4:$A$23,0)),0),2))</f>
        <v/>
      </c>
      <c r="L138" s="44">
        <f>IF($C138="","",$E138*$H138)</f>
        <v/>
      </c>
      <c r="M138" s="44">
        <f>IF($C138="","",$J138-$L138-$P138)</f>
        <v/>
      </c>
      <c r="N138" s="40" t="n"/>
      <c r="O138" s="40" t="n"/>
      <c r="P138" s="44">
        <f>IF(OR($C138="",$N138&lt;&gt;"Card"),0,ROUND(($J138+$K138)*IFERROR(INDEX(Shows!$G$4:$G$23,MATCH($B138,Shows!$A$4:$A$23,0)),0)+IFERROR(INDEX(Shows!$H$4:$H$23,MATCH($B138,Shows!$A$4:$A$23,0)),0),2))</f>
        <v/>
      </c>
      <c r="Q138" s="44">
        <f>IF($C138="","",$J138+$K138-$P138)</f>
        <v/>
      </c>
      <c r="R138" s="40" t="n"/>
      <c r="S138" s="40" t="n"/>
      <c r="T138" s="40" t="n"/>
    </row>
    <row r="139">
      <c r="A139" s="48" t="n"/>
      <c r="B139" s="34" t="n"/>
      <c r="C139" s="34" t="n"/>
      <c r="D139" s="15">
        <f>IF($C139="","",IFERROR(INDEX(Inventory!$B$4:$B$253,MATCH($C139,Inventory!$A$4:$A$253,0))&amp;" "&amp;INDEX(Inventory!$C$4:$C$253,MATCH($C139,Inventory!$A$4:$A$253,0)),"SKU not in Inventory"))</f>
        <v/>
      </c>
      <c r="E139" s="36" t="n"/>
      <c r="F139" s="35" t="n"/>
      <c r="G139" s="35" t="n"/>
      <c r="H139" s="49">
        <f>IF($C139="","",IFERROR(INDEX(Inventory!$H$4:$H$253,MATCH($C139,Inventory!$A$4:$A$253,0)),0))</f>
        <v/>
      </c>
      <c r="I139" s="34" t="n"/>
      <c r="J139" s="38">
        <f>IF($C139="","",MAX(0,$E139*$F139-$G139))</f>
        <v/>
      </c>
      <c r="K139" s="38">
        <f>IF(OR($C139="",$I139="No"),0,ROUND($J139*IFERROR(INDEX(Shows!$F$4:$F$23,MATCH($B139,Shows!$A$4:$A$23,0)),0),2))</f>
        <v/>
      </c>
      <c r="L139" s="38">
        <f>IF($C139="","",$E139*$H139)</f>
        <v/>
      </c>
      <c r="M139" s="38">
        <f>IF($C139="","",$J139-$L139-$P139)</f>
        <v/>
      </c>
      <c r="N139" s="34" t="n"/>
      <c r="O139" s="34" t="n"/>
      <c r="P139" s="38">
        <f>IF(OR($C139="",$N139&lt;&gt;"Card"),0,ROUND(($J139+$K139)*IFERROR(INDEX(Shows!$G$4:$G$23,MATCH($B139,Shows!$A$4:$A$23,0)),0)+IFERROR(INDEX(Shows!$H$4:$H$23,MATCH($B139,Shows!$A$4:$A$23,0)),0),2))</f>
        <v/>
      </c>
      <c r="Q139" s="38">
        <f>IF($C139="","",$J139+$K139-$P139)</f>
        <v/>
      </c>
      <c r="R139" s="34" t="n"/>
      <c r="S139" s="34" t="n"/>
      <c r="T139" s="34" t="n"/>
    </row>
    <row r="140">
      <c r="A140" s="46" t="n"/>
      <c r="B140" s="40" t="n"/>
      <c r="C140" s="40" t="n"/>
      <c r="D140" s="11">
        <f>IF($C140="","",IFERROR(INDEX(Inventory!$B$4:$B$253,MATCH($C140,Inventory!$A$4:$A$253,0))&amp;" "&amp;INDEX(Inventory!$C$4:$C$253,MATCH($C140,Inventory!$A$4:$A$253,0)),"SKU not in Inventory"))</f>
        <v/>
      </c>
      <c r="E140" s="42" t="n"/>
      <c r="F140" s="41" t="n"/>
      <c r="G140" s="41" t="n"/>
      <c r="H140" s="47">
        <f>IF($C140="","",IFERROR(INDEX(Inventory!$H$4:$H$253,MATCH($C140,Inventory!$A$4:$A$253,0)),0))</f>
        <v/>
      </c>
      <c r="I140" s="40" t="n"/>
      <c r="J140" s="44">
        <f>IF($C140="","",MAX(0,$E140*$F140-$G140))</f>
        <v/>
      </c>
      <c r="K140" s="44">
        <f>IF(OR($C140="",$I140="No"),0,ROUND($J140*IFERROR(INDEX(Shows!$F$4:$F$23,MATCH($B140,Shows!$A$4:$A$23,0)),0),2))</f>
        <v/>
      </c>
      <c r="L140" s="44">
        <f>IF($C140="","",$E140*$H140)</f>
        <v/>
      </c>
      <c r="M140" s="44">
        <f>IF($C140="","",$J140-$L140-$P140)</f>
        <v/>
      </c>
      <c r="N140" s="40" t="n"/>
      <c r="O140" s="40" t="n"/>
      <c r="P140" s="44">
        <f>IF(OR($C140="",$N140&lt;&gt;"Card"),0,ROUND(($J140+$K140)*IFERROR(INDEX(Shows!$G$4:$G$23,MATCH($B140,Shows!$A$4:$A$23,0)),0)+IFERROR(INDEX(Shows!$H$4:$H$23,MATCH($B140,Shows!$A$4:$A$23,0)),0),2))</f>
        <v/>
      </c>
      <c r="Q140" s="44">
        <f>IF($C140="","",$J140+$K140-$P140)</f>
        <v/>
      </c>
      <c r="R140" s="40" t="n"/>
      <c r="S140" s="40" t="n"/>
      <c r="T140" s="40" t="n"/>
    </row>
    <row r="141">
      <c r="A141" s="48" t="n"/>
      <c r="B141" s="34" t="n"/>
      <c r="C141" s="34" t="n"/>
      <c r="D141" s="15">
        <f>IF($C141="","",IFERROR(INDEX(Inventory!$B$4:$B$253,MATCH($C141,Inventory!$A$4:$A$253,0))&amp;" "&amp;INDEX(Inventory!$C$4:$C$253,MATCH($C141,Inventory!$A$4:$A$253,0)),"SKU not in Inventory"))</f>
        <v/>
      </c>
      <c r="E141" s="36" t="n"/>
      <c r="F141" s="35" t="n"/>
      <c r="G141" s="35" t="n"/>
      <c r="H141" s="49">
        <f>IF($C141="","",IFERROR(INDEX(Inventory!$H$4:$H$253,MATCH($C141,Inventory!$A$4:$A$253,0)),0))</f>
        <v/>
      </c>
      <c r="I141" s="34" t="n"/>
      <c r="J141" s="38">
        <f>IF($C141="","",MAX(0,$E141*$F141-$G141))</f>
        <v/>
      </c>
      <c r="K141" s="38">
        <f>IF(OR($C141="",$I141="No"),0,ROUND($J141*IFERROR(INDEX(Shows!$F$4:$F$23,MATCH($B141,Shows!$A$4:$A$23,0)),0),2))</f>
        <v/>
      </c>
      <c r="L141" s="38">
        <f>IF($C141="","",$E141*$H141)</f>
        <v/>
      </c>
      <c r="M141" s="38">
        <f>IF($C141="","",$J141-$L141-$P141)</f>
        <v/>
      </c>
      <c r="N141" s="34" t="n"/>
      <c r="O141" s="34" t="n"/>
      <c r="P141" s="38">
        <f>IF(OR($C141="",$N141&lt;&gt;"Card"),0,ROUND(($J141+$K141)*IFERROR(INDEX(Shows!$G$4:$G$23,MATCH($B141,Shows!$A$4:$A$23,0)),0)+IFERROR(INDEX(Shows!$H$4:$H$23,MATCH($B141,Shows!$A$4:$A$23,0)),0),2))</f>
        <v/>
      </c>
      <c r="Q141" s="38">
        <f>IF($C141="","",$J141+$K141-$P141)</f>
        <v/>
      </c>
      <c r="R141" s="34" t="n"/>
      <c r="S141" s="34" t="n"/>
      <c r="T141" s="34" t="n"/>
    </row>
    <row r="142">
      <c r="A142" s="46" t="n"/>
      <c r="B142" s="40" t="n"/>
      <c r="C142" s="40" t="n"/>
      <c r="D142" s="11">
        <f>IF($C142="","",IFERROR(INDEX(Inventory!$B$4:$B$253,MATCH($C142,Inventory!$A$4:$A$253,0))&amp;" "&amp;INDEX(Inventory!$C$4:$C$253,MATCH($C142,Inventory!$A$4:$A$253,0)),"SKU not in Inventory"))</f>
        <v/>
      </c>
      <c r="E142" s="42" t="n"/>
      <c r="F142" s="41" t="n"/>
      <c r="G142" s="41" t="n"/>
      <c r="H142" s="47">
        <f>IF($C142="","",IFERROR(INDEX(Inventory!$H$4:$H$253,MATCH($C142,Inventory!$A$4:$A$253,0)),0))</f>
        <v/>
      </c>
      <c r="I142" s="40" t="n"/>
      <c r="J142" s="44">
        <f>IF($C142="","",MAX(0,$E142*$F142-$G142))</f>
        <v/>
      </c>
      <c r="K142" s="44">
        <f>IF(OR($C142="",$I142="No"),0,ROUND($J142*IFERROR(INDEX(Shows!$F$4:$F$23,MATCH($B142,Shows!$A$4:$A$23,0)),0),2))</f>
        <v/>
      </c>
      <c r="L142" s="44">
        <f>IF($C142="","",$E142*$H142)</f>
        <v/>
      </c>
      <c r="M142" s="44">
        <f>IF($C142="","",$J142-$L142-$P142)</f>
        <v/>
      </c>
      <c r="N142" s="40" t="n"/>
      <c r="O142" s="40" t="n"/>
      <c r="P142" s="44">
        <f>IF(OR($C142="",$N142&lt;&gt;"Card"),0,ROUND(($J142+$K142)*IFERROR(INDEX(Shows!$G$4:$G$23,MATCH($B142,Shows!$A$4:$A$23,0)),0)+IFERROR(INDEX(Shows!$H$4:$H$23,MATCH($B142,Shows!$A$4:$A$23,0)),0),2))</f>
        <v/>
      </c>
      <c r="Q142" s="44">
        <f>IF($C142="","",$J142+$K142-$P142)</f>
        <v/>
      </c>
      <c r="R142" s="40" t="n"/>
      <c r="S142" s="40" t="n"/>
      <c r="T142" s="40" t="n"/>
    </row>
    <row r="143">
      <c r="A143" s="48" t="n"/>
      <c r="B143" s="34" t="n"/>
      <c r="C143" s="34" t="n"/>
      <c r="D143" s="15">
        <f>IF($C143="","",IFERROR(INDEX(Inventory!$B$4:$B$253,MATCH($C143,Inventory!$A$4:$A$253,0))&amp;" "&amp;INDEX(Inventory!$C$4:$C$253,MATCH($C143,Inventory!$A$4:$A$253,0)),"SKU not in Inventory"))</f>
        <v/>
      </c>
      <c r="E143" s="36" t="n"/>
      <c r="F143" s="35" t="n"/>
      <c r="G143" s="35" t="n"/>
      <c r="H143" s="49">
        <f>IF($C143="","",IFERROR(INDEX(Inventory!$H$4:$H$253,MATCH($C143,Inventory!$A$4:$A$253,0)),0))</f>
        <v/>
      </c>
      <c r="I143" s="34" t="n"/>
      <c r="J143" s="38">
        <f>IF($C143="","",MAX(0,$E143*$F143-$G143))</f>
        <v/>
      </c>
      <c r="K143" s="38">
        <f>IF(OR($C143="",$I143="No"),0,ROUND($J143*IFERROR(INDEX(Shows!$F$4:$F$23,MATCH($B143,Shows!$A$4:$A$23,0)),0),2))</f>
        <v/>
      </c>
      <c r="L143" s="38">
        <f>IF($C143="","",$E143*$H143)</f>
        <v/>
      </c>
      <c r="M143" s="38">
        <f>IF($C143="","",$J143-$L143-$P143)</f>
        <v/>
      </c>
      <c r="N143" s="34" t="n"/>
      <c r="O143" s="34" t="n"/>
      <c r="P143" s="38">
        <f>IF(OR($C143="",$N143&lt;&gt;"Card"),0,ROUND(($J143+$K143)*IFERROR(INDEX(Shows!$G$4:$G$23,MATCH($B143,Shows!$A$4:$A$23,0)),0)+IFERROR(INDEX(Shows!$H$4:$H$23,MATCH($B143,Shows!$A$4:$A$23,0)),0),2))</f>
        <v/>
      </c>
      <c r="Q143" s="38">
        <f>IF($C143="","",$J143+$K143-$P143)</f>
        <v/>
      </c>
      <c r="R143" s="34" t="n"/>
      <c r="S143" s="34" t="n"/>
      <c r="T143" s="34" t="n"/>
    </row>
    <row r="144">
      <c r="A144" s="46" t="n"/>
      <c r="B144" s="40" t="n"/>
      <c r="C144" s="40" t="n"/>
      <c r="D144" s="11">
        <f>IF($C144="","",IFERROR(INDEX(Inventory!$B$4:$B$253,MATCH($C144,Inventory!$A$4:$A$253,0))&amp;" "&amp;INDEX(Inventory!$C$4:$C$253,MATCH($C144,Inventory!$A$4:$A$253,0)),"SKU not in Inventory"))</f>
        <v/>
      </c>
      <c r="E144" s="42" t="n"/>
      <c r="F144" s="41" t="n"/>
      <c r="G144" s="41" t="n"/>
      <c r="H144" s="47">
        <f>IF($C144="","",IFERROR(INDEX(Inventory!$H$4:$H$253,MATCH($C144,Inventory!$A$4:$A$253,0)),0))</f>
        <v/>
      </c>
      <c r="I144" s="40" t="n"/>
      <c r="J144" s="44">
        <f>IF($C144="","",MAX(0,$E144*$F144-$G144))</f>
        <v/>
      </c>
      <c r="K144" s="44">
        <f>IF(OR($C144="",$I144="No"),0,ROUND($J144*IFERROR(INDEX(Shows!$F$4:$F$23,MATCH($B144,Shows!$A$4:$A$23,0)),0),2))</f>
        <v/>
      </c>
      <c r="L144" s="44">
        <f>IF($C144="","",$E144*$H144)</f>
        <v/>
      </c>
      <c r="M144" s="44">
        <f>IF($C144="","",$J144-$L144-$P144)</f>
        <v/>
      </c>
      <c r="N144" s="40" t="n"/>
      <c r="O144" s="40" t="n"/>
      <c r="P144" s="44">
        <f>IF(OR($C144="",$N144&lt;&gt;"Card"),0,ROUND(($J144+$K144)*IFERROR(INDEX(Shows!$G$4:$G$23,MATCH($B144,Shows!$A$4:$A$23,0)),0)+IFERROR(INDEX(Shows!$H$4:$H$23,MATCH($B144,Shows!$A$4:$A$23,0)),0),2))</f>
        <v/>
      </c>
      <c r="Q144" s="44">
        <f>IF($C144="","",$J144+$K144-$P144)</f>
        <v/>
      </c>
      <c r="R144" s="40" t="n"/>
      <c r="S144" s="40" t="n"/>
      <c r="T144" s="40" t="n"/>
    </row>
    <row r="145">
      <c r="A145" s="48" t="n"/>
      <c r="B145" s="34" t="n"/>
      <c r="C145" s="34" t="n"/>
      <c r="D145" s="15">
        <f>IF($C145="","",IFERROR(INDEX(Inventory!$B$4:$B$253,MATCH($C145,Inventory!$A$4:$A$253,0))&amp;" "&amp;INDEX(Inventory!$C$4:$C$253,MATCH($C145,Inventory!$A$4:$A$253,0)),"SKU not in Inventory"))</f>
        <v/>
      </c>
      <c r="E145" s="36" t="n"/>
      <c r="F145" s="35" t="n"/>
      <c r="G145" s="35" t="n"/>
      <c r="H145" s="49">
        <f>IF($C145="","",IFERROR(INDEX(Inventory!$H$4:$H$253,MATCH($C145,Inventory!$A$4:$A$253,0)),0))</f>
        <v/>
      </c>
      <c r="I145" s="34" t="n"/>
      <c r="J145" s="38">
        <f>IF($C145="","",MAX(0,$E145*$F145-$G145))</f>
        <v/>
      </c>
      <c r="K145" s="38">
        <f>IF(OR($C145="",$I145="No"),0,ROUND($J145*IFERROR(INDEX(Shows!$F$4:$F$23,MATCH($B145,Shows!$A$4:$A$23,0)),0),2))</f>
        <v/>
      </c>
      <c r="L145" s="38">
        <f>IF($C145="","",$E145*$H145)</f>
        <v/>
      </c>
      <c r="M145" s="38">
        <f>IF($C145="","",$J145-$L145-$P145)</f>
        <v/>
      </c>
      <c r="N145" s="34" t="n"/>
      <c r="O145" s="34" t="n"/>
      <c r="P145" s="38">
        <f>IF(OR($C145="",$N145&lt;&gt;"Card"),0,ROUND(($J145+$K145)*IFERROR(INDEX(Shows!$G$4:$G$23,MATCH($B145,Shows!$A$4:$A$23,0)),0)+IFERROR(INDEX(Shows!$H$4:$H$23,MATCH($B145,Shows!$A$4:$A$23,0)),0),2))</f>
        <v/>
      </c>
      <c r="Q145" s="38">
        <f>IF($C145="","",$J145+$K145-$P145)</f>
        <v/>
      </c>
      <c r="R145" s="34" t="n"/>
      <c r="S145" s="34" t="n"/>
      <c r="T145" s="34" t="n"/>
    </row>
    <row r="146">
      <c r="A146" s="46" t="n"/>
      <c r="B146" s="40" t="n"/>
      <c r="C146" s="40" t="n"/>
      <c r="D146" s="11">
        <f>IF($C146="","",IFERROR(INDEX(Inventory!$B$4:$B$253,MATCH($C146,Inventory!$A$4:$A$253,0))&amp;" "&amp;INDEX(Inventory!$C$4:$C$253,MATCH($C146,Inventory!$A$4:$A$253,0)),"SKU not in Inventory"))</f>
        <v/>
      </c>
      <c r="E146" s="42" t="n"/>
      <c r="F146" s="41" t="n"/>
      <c r="G146" s="41" t="n"/>
      <c r="H146" s="47">
        <f>IF($C146="","",IFERROR(INDEX(Inventory!$H$4:$H$253,MATCH($C146,Inventory!$A$4:$A$253,0)),0))</f>
        <v/>
      </c>
      <c r="I146" s="40" t="n"/>
      <c r="J146" s="44">
        <f>IF($C146="","",MAX(0,$E146*$F146-$G146))</f>
        <v/>
      </c>
      <c r="K146" s="44">
        <f>IF(OR($C146="",$I146="No"),0,ROUND($J146*IFERROR(INDEX(Shows!$F$4:$F$23,MATCH($B146,Shows!$A$4:$A$23,0)),0),2))</f>
        <v/>
      </c>
      <c r="L146" s="44">
        <f>IF($C146="","",$E146*$H146)</f>
        <v/>
      </c>
      <c r="M146" s="44">
        <f>IF($C146="","",$J146-$L146-$P146)</f>
        <v/>
      </c>
      <c r="N146" s="40" t="n"/>
      <c r="O146" s="40" t="n"/>
      <c r="P146" s="44">
        <f>IF(OR($C146="",$N146&lt;&gt;"Card"),0,ROUND(($J146+$K146)*IFERROR(INDEX(Shows!$G$4:$G$23,MATCH($B146,Shows!$A$4:$A$23,0)),0)+IFERROR(INDEX(Shows!$H$4:$H$23,MATCH($B146,Shows!$A$4:$A$23,0)),0),2))</f>
        <v/>
      </c>
      <c r="Q146" s="44">
        <f>IF($C146="","",$J146+$K146-$P146)</f>
        <v/>
      </c>
      <c r="R146" s="40" t="n"/>
      <c r="S146" s="40" t="n"/>
      <c r="T146" s="40" t="n"/>
    </row>
    <row r="147">
      <c r="A147" s="48" t="n"/>
      <c r="B147" s="34" t="n"/>
      <c r="C147" s="34" t="n"/>
      <c r="D147" s="15">
        <f>IF($C147="","",IFERROR(INDEX(Inventory!$B$4:$B$253,MATCH($C147,Inventory!$A$4:$A$253,0))&amp;" "&amp;INDEX(Inventory!$C$4:$C$253,MATCH($C147,Inventory!$A$4:$A$253,0)),"SKU not in Inventory"))</f>
        <v/>
      </c>
      <c r="E147" s="36" t="n"/>
      <c r="F147" s="35" t="n"/>
      <c r="G147" s="35" t="n"/>
      <c r="H147" s="49">
        <f>IF($C147="","",IFERROR(INDEX(Inventory!$H$4:$H$253,MATCH($C147,Inventory!$A$4:$A$253,0)),0))</f>
        <v/>
      </c>
      <c r="I147" s="34" t="n"/>
      <c r="J147" s="38">
        <f>IF($C147="","",MAX(0,$E147*$F147-$G147))</f>
        <v/>
      </c>
      <c r="K147" s="38">
        <f>IF(OR($C147="",$I147="No"),0,ROUND($J147*IFERROR(INDEX(Shows!$F$4:$F$23,MATCH($B147,Shows!$A$4:$A$23,0)),0),2))</f>
        <v/>
      </c>
      <c r="L147" s="38">
        <f>IF($C147="","",$E147*$H147)</f>
        <v/>
      </c>
      <c r="M147" s="38">
        <f>IF($C147="","",$J147-$L147-$P147)</f>
        <v/>
      </c>
      <c r="N147" s="34" t="n"/>
      <c r="O147" s="34" t="n"/>
      <c r="P147" s="38">
        <f>IF(OR($C147="",$N147&lt;&gt;"Card"),0,ROUND(($J147+$K147)*IFERROR(INDEX(Shows!$G$4:$G$23,MATCH($B147,Shows!$A$4:$A$23,0)),0)+IFERROR(INDEX(Shows!$H$4:$H$23,MATCH($B147,Shows!$A$4:$A$23,0)),0),2))</f>
        <v/>
      </c>
      <c r="Q147" s="38">
        <f>IF($C147="","",$J147+$K147-$P147)</f>
        <v/>
      </c>
      <c r="R147" s="34" t="n"/>
      <c r="S147" s="34" t="n"/>
      <c r="T147" s="34" t="n"/>
    </row>
    <row r="148">
      <c r="A148" s="46" t="n"/>
      <c r="B148" s="40" t="n"/>
      <c r="C148" s="40" t="n"/>
      <c r="D148" s="11">
        <f>IF($C148="","",IFERROR(INDEX(Inventory!$B$4:$B$253,MATCH($C148,Inventory!$A$4:$A$253,0))&amp;" "&amp;INDEX(Inventory!$C$4:$C$253,MATCH($C148,Inventory!$A$4:$A$253,0)),"SKU not in Inventory"))</f>
        <v/>
      </c>
      <c r="E148" s="42" t="n"/>
      <c r="F148" s="41" t="n"/>
      <c r="G148" s="41" t="n"/>
      <c r="H148" s="47">
        <f>IF($C148="","",IFERROR(INDEX(Inventory!$H$4:$H$253,MATCH($C148,Inventory!$A$4:$A$253,0)),0))</f>
        <v/>
      </c>
      <c r="I148" s="40" t="n"/>
      <c r="J148" s="44">
        <f>IF($C148="","",MAX(0,$E148*$F148-$G148))</f>
        <v/>
      </c>
      <c r="K148" s="44">
        <f>IF(OR($C148="",$I148="No"),0,ROUND($J148*IFERROR(INDEX(Shows!$F$4:$F$23,MATCH($B148,Shows!$A$4:$A$23,0)),0),2))</f>
        <v/>
      </c>
      <c r="L148" s="44">
        <f>IF($C148="","",$E148*$H148)</f>
        <v/>
      </c>
      <c r="M148" s="44">
        <f>IF($C148="","",$J148-$L148-$P148)</f>
        <v/>
      </c>
      <c r="N148" s="40" t="n"/>
      <c r="O148" s="40" t="n"/>
      <c r="P148" s="44">
        <f>IF(OR($C148="",$N148&lt;&gt;"Card"),0,ROUND(($J148+$K148)*IFERROR(INDEX(Shows!$G$4:$G$23,MATCH($B148,Shows!$A$4:$A$23,0)),0)+IFERROR(INDEX(Shows!$H$4:$H$23,MATCH($B148,Shows!$A$4:$A$23,0)),0),2))</f>
        <v/>
      </c>
      <c r="Q148" s="44">
        <f>IF($C148="","",$J148+$K148-$P148)</f>
        <v/>
      </c>
      <c r="R148" s="40" t="n"/>
      <c r="S148" s="40" t="n"/>
      <c r="T148" s="40" t="n"/>
    </row>
    <row r="149">
      <c r="A149" s="48" t="n"/>
      <c r="B149" s="34" t="n"/>
      <c r="C149" s="34" t="n"/>
      <c r="D149" s="15">
        <f>IF($C149="","",IFERROR(INDEX(Inventory!$B$4:$B$253,MATCH($C149,Inventory!$A$4:$A$253,0))&amp;" "&amp;INDEX(Inventory!$C$4:$C$253,MATCH($C149,Inventory!$A$4:$A$253,0)),"SKU not in Inventory"))</f>
        <v/>
      </c>
      <c r="E149" s="36" t="n"/>
      <c r="F149" s="35" t="n"/>
      <c r="G149" s="35" t="n"/>
      <c r="H149" s="49">
        <f>IF($C149="","",IFERROR(INDEX(Inventory!$H$4:$H$253,MATCH($C149,Inventory!$A$4:$A$253,0)),0))</f>
        <v/>
      </c>
      <c r="I149" s="34" t="n"/>
      <c r="J149" s="38">
        <f>IF($C149="","",MAX(0,$E149*$F149-$G149))</f>
        <v/>
      </c>
      <c r="K149" s="38">
        <f>IF(OR($C149="",$I149="No"),0,ROUND($J149*IFERROR(INDEX(Shows!$F$4:$F$23,MATCH($B149,Shows!$A$4:$A$23,0)),0),2))</f>
        <v/>
      </c>
      <c r="L149" s="38">
        <f>IF($C149="","",$E149*$H149)</f>
        <v/>
      </c>
      <c r="M149" s="38">
        <f>IF($C149="","",$J149-$L149-$P149)</f>
        <v/>
      </c>
      <c r="N149" s="34" t="n"/>
      <c r="O149" s="34" t="n"/>
      <c r="P149" s="38">
        <f>IF(OR($C149="",$N149&lt;&gt;"Card"),0,ROUND(($J149+$K149)*IFERROR(INDEX(Shows!$G$4:$G$23,MATCH($B149,Shows!$A$4:$A$23,0)),0)+IFERROR(INDEX(Shows!$H$4:$H$23,MATCH($B149,Shows!$A$4:$A$23,0)),0),2))</f>
        <v/>
      </c>
      <c r="Q149" s="38">
        <f>IF($C149="","",$J149+$K149-$P149)</f>
        <v/>
      </c>
      <c r="R149" s="34" t="n"/>
      <c r="S149" s="34" t="n"/>
      <c r="T149" s="34" t="n"/>
    </row>
    <row r="150">
      <c r="A150" s="46" t="n"/>
      <c r="B150" s="40" t="n"/>
      <c r="C150" s="40" t="n"/>
      <c r="D150" s="11">
        <f>IF($C150="","",IFERROR(INDEX(Inventory!$B$4:$B$253,MATCH($C150,Inventory!$A$4:$A$253,0))&amp;" "&amp;INDEX(Inventory!$C$4:$C$253,MATCH($C150,Inventory!$A$4:$A$253,0)),"SKU not in Inventory"))</f>
        <v/>
      </c>
      <c r="E150" s="42" t="n"/>
      <c r="F150" s="41" t="n"/>
      <c r="G150" s="41" t="n"/>
      <c r="H150" s="47">
        <f>IF($C150="","",IFERROR(INDEX(Inventory!$H$4:$H$253,MATCH($C150,Inventory!$A$4:$A$253,0)),0))</f>
        <v/>
      </c>
      <c r="I150" s="40" t="n"/>
      <c r="J150" s="44">
        <f>IF($C150="","",MAX(0,$E150*$F150-$G150))</f>
        <v/>
      </c>
      <c r="K150" s="44">
        <f>IF(OR($C150="",$I150="No"),0,ROUND($J150*IFERROR(INDEX(Shows!$F$4:$F$23,MATCH($B150,Shows!$A$4:$A$23,0)),0),2))</f>
        <v/>
      </c>
      <c r="L150" s="44">
        <f>IF($C150="","",$E150*$H150)</f>
        <v/>
      </c>
      <c r="M150" s="44">
        <f>IF($C150="","",$J150-$L150-$P150)</f>
        <v/>
      </c>
      <c r="N150" s="40" t="n"/>
      <c r="O150" s="40" t="n"/>
      <c r="P150" s="44">
        <f>IF(OR($C150="",$N150&lt;&gt;"Card"),0,ROUND(($J150+$K150)*IFERROR(INDEX(Shows!$G$4:$G$23,MATCH($B150,Shows!$A$4:$A$23,0)),0)+IFERROR(INDEX(Shows!$H$4:$H$23,MATCH($B150,Shows!$A$4:$A$23,0)),0),2))</f>
        <v/>
      </c>
      <c r="Q150" s="44">
        <f>IF($C150="","",$J150+$K150-$P150)</f>
        <v/>
      </c>
      <c r="R150" s="40" t="n"/>
      <c r="S150" s="40" t="n"/>
      <c r="T150" s="40" t="n"/>
    </row>
    <row r="151">
      <c r="A151" s="48" t="n"/>
      <c r="B151" s="34" t="n"/>
      <c r="C151" s="34" t="n"/>
      <c r="D151" s="15">
        <f>IF($C151="","",IFERROR(INDEX(Inventory!$B$4:$B$253,MATCH($C151,Inventory!$A$4:$A$253,0))&amp;" "&amp;INDEX(Inventory!$C$4:$C$253,MATCH($C151,Inventory!$A$4:$A$253,0)),"SKU not in Inventory"))</f>
        <v/>
      </c>
      <c r="E151" s="36" t="n"/>
      <c r="F151" s="35" t="n"/>
      <c r="G151" s="35" t="n"/>
      <c r="H151" s="49">
        <f>IF($C151="","",IFERROR(INDEX(Inventory!$H$4:$H$253,MATCH($C151,Inventory!$A$4:$A$253,0)),0))</f>
        <v/>
      </c>
      <c r="I151" s="34" t="n"/>
      <c r="J151" s="38">
        <f>IF($C151="","",MAX(0,$E151*$F151-$G151))</f>
        <v/>
      </c>
      <c r="K151" s="38">
        <f>IF(OR($C151="",$I151="No"),0,ROUND($J151*IFERROR(INDEX(Shows!$F$4:$F$23,MATCH($B151,Shows!$A$4:$A$23,0)),0),2))</f>
        <v/>
      </c>
      <c r="L151" s="38">
        <f>IF($C151="","",$E151*$H151)</f>
        <v/>
      </c>
      <c r="M151" s="38">
        <f>IF($C151="","",$J151-$L151-$P151)</f>
        <v/>
      </c>
      <c r="N151" s="34" t="n"/>
      <c r="O151" s="34" t="n"/>
      <c r="P151" s="38">
        <f>IF(OR($C151="",$N151&lt;&gt;"Card"),0,ROUND(($J151+$K151)*IFERROR(INDEX(Shows!$G$4:$G$23,MATCH($B151,Shows!$A$4:$A$23,0)),0)+IFERROR(INDEX(Shows!$H$4:$H$23,MATCH($B151,Shows!$A$4:$A$23,0)),0),2))</f>
        <v/>
      </c>
      <c r="Q151" s="38">
        <f>IF($C151="","",$J151+$K151-$P151)</f>
        <v/>
      </c>
      <c r="R151" s="34" t="n"/>
      <c r="S151" s="34" t="n"/>
      <c r="T151" s="34" t="n"/>
    </row>
    <row r="152">
      <c r="A152" s="46" t="n"/>
      <c r="B152" s="40" t="n"/>
      <c r="C152" s="40" t="n"/>
      <c r="D152" s="11">
        <f>IF($C152="","",IFERROR(INDEX(Inventory!$B$4:$B$253,MATCH($C152,Inventory!$A$4:$A$253,0))&amp;" "&amp;INDEX(Inventory!$C$4:$C$253,MATCH($C152,Inventory!$A$4:$A$253,0)),"SKU not in Inventory"))</f>
        <v/>
      </c>
      <c r="E152" s="42" t="n"/>
      <c r="F152" s="41" t="n"/>
      <c r="G152" s="41" t="n"/>
      <c r="H152" s="47">
        <f>IF($C152="","",IFERROR(INDEX(Inventory!$H$4:$H$253,MATCH($C152,Inventory!$A$4:$A$253,0)),0))</f>
        <v/>
      </c>
      <c r="I152" s="40" t="n"/>
      <c r="J152" s="44">
        <f>IF($C152="","",MAX(0,$E152*$F152-$G152))</f>
        <v/>
      </c>
      <c r="K152" s="44">
        <f>IF(OR($C152="",$I152="No"),0,ROUND($J152*IFERROR(INDEX(Shows!$F$4:$F$23,MATCH($B152,Shows!$A$4:$A$23,0)),0),2))</f>
        <v/>
      </c>
      <c r="L152" s="44">
        <f>IF($C152="","",$E152*$H152)</f>
        <v/>
      </c>
      <c r="M152" s="44">
        <f>IF($C152="","",$J152-$L152-$P152)</f>
        <v/>
      </c>
      <c r="N152" s="40" t="n"/>
      <c r="O152" s="40" t="n"/>
      <c r="P152" s="44">
        <f>IF(OR($C152="",$N152&lt;&gt;"Card"),0,ROUND(($J152+$K152)*IFERROR(INDEX(Shows!$G$4:$G$23,MATCH($B152,Shows!$A$4:$A$23,0)),0)+IFERROR(INDEX(Shows!$H$4:$H$23,MATCH($B152,Shows!$A$4:$A$23,0)),0),2))</f>
        <v/>
      </c>
      <c r="Q152" s="44">
        <f>IF($C152="","",$J152+$K152-$P152)</f>
        <v/>
      </c>
      <c r="R152" s="40" t="n"/>
      <c r="S152" s="40" t="n"/>
      <c r="T152" s="40" t="n"/>
    </row>
    <row r="153">
      <c r="A153" s="48" t="n"/>
      <c r="B153" s="34" t="n"/>
      <c r="C153" s="34" t="n"/>
      <c r="D153" s="15">
        <f>IF($C153="","",IFERROR(INDEX(Inventory!$B$4:$B$253,MATCH($C153,Inventory!$A$4:$A$253,0))&amp;" "&amp;INDEX(Inventory!$C$4:$C$253,MATCH($C153,Inventory!$A$4:$A$253,0)),"SKU not in Inventory"))</f>
        <v/>
      </c>
      <c r="E153" s="36" t="n"/>
      <c r="F153" s="35" t="n"/>
      <c r="G153" s="35" t="n"/>
      <c r="H153" s="49">
        <f>IF($C153="","",IFERROR(INDEX(Inventory!$H$4:$H$253,MATCH($C153,Inventory!$A$4:$A$253,0)),0))</f>
        <v/>
      </c>
      <c r="I153" s="34" t="n"/>
      <c r="J153" s="38">
        <f>IF($C153="","",MAX(0,$E153*$F153-$G153))</f>
        <v/>
      </c>
      <c r="K153" s="38">
        <f>IF(OR($C153="",$I153="No"),0,ROUND($J153*IFERROR(INDEX(Shows!$F$4:$F$23,MATCH($B153,Shows!$A$4:$A$23,0)),0),2))</f>
        <v/>
      </c>
      <c r="L153" s="38">
        <f>IF($C153="","",$E153*$H153)</f>
        <v/>
      </c>
      <c r="M153" s="38">
        <f>IF($C153="","",$J153-$L153-$P153)</f>
        <v/>
      </c>
      <c r="N153" s="34" t="n"/>
      <c r="O153" s="34" t="n"/>
      <c r="P153" s="38">
        <f>IF(OR($C153="",$N153&lt;&gt;"Card"),0,ROUND(($J153+$K153)*IFERROR(INDEX(Shows!$G$4:$G$23,MATCH($B153,Shows!$A$4:$A$23,0)),0)+IFERROR(INDEX(Shows!$H$4:$H$23,MATCH($B153,Shows!$A$4:$A$23,0)),0),2))</f>
        <v/>
      </c>
      <c r="Q153" s="38">
        <f>IF($C153="","",$J153+$K153-$P153)</f>
        <v/>
      </c>
      <c r="R153" s="34" t="n"/>
      <c r="S153" s="34" t="n"/>
      <c r="T153" s="34" t="n"/>
    </row>
    <row r="154">
      <c r="A154" s="46" t="n"/>
      <c r="B154" s="40" t="n"/>
      <c r="C154" s="40" t="n"/>
      <c r="D154" s="11">
        <f>IF($C154="","",IFERROR(INDEX(Inventory!$B$4:$B$253,MATCH($C154,Inventory!$A$4:$A$253,0))&amp;" "&amp;INDEX(Inventory!$C$4:$C$253,MATCH($C154,Inventory!$A$4:$A$253,0)),"SKU not in Inventory"))</f>
        <v/>
      </c>
      <c r="E154" s="42" t="n"/>
      <c r="F154" s="41" t="n"/>
      <c r="G154" s="41" t="n"/>
      <c r="H154" s="47">
        <f>IF($C154="","",IFERROR(INDEX(Inventory!$H$4:$H$253,MATCH($C154,Inventory!$A$4:$A$253,0)),0))</f>
        <v/>
      </c>
      <c r="I154" s="40" t="n"/>
      <c r="J154" s="44">
        <f>IF($C154="","",MAX(0,$E154*$F154-$G154))</f>
        <v/>
      </c>
      <c r="K154" s="44">
        <f>IF(OR($C154="",$I154="No"),0,ROUND($J154*IFERROR(INDEX(Shows!$F$4:$F$23,MATCH($B154,Shows!$A$4:$A$23,0)),0),2))</f>
        <v/>
      </c>
      <c r="L154" s="44">
        <f>IF($C154="","",$E154*$H154)</f>
        <v/>
      </c>
      <c r="M154" s="44">
        <f>IF($C154="","",$J154-$L154-$P154)</f>
        <v/>
      </c>
      <c r="N154" s="40" t="n"/>
      <c r="O154" s="40" t="n"/>
      <c r="P154" s="44">
        <f>IF(OR($C154="",$N154&lt;&gt;"Card"),0,ROUND(($J154+$K154)*IFERROR(INDEX(Shows!$G$4:$G$23,MATCH($B154,Shows!$A$4:$A$23,0)),0)+IFERROR(INDEX(Shows!$H$4:$H$23,MATCH($B154,Shows!$A$4:$A$23,0)),0),2))</f>
        <v/>
      </c>
      <c r="Q154" s="44">
        <f>IF($C154="","",$J154+$K154-$P154)</f>
        <v/>
      </c>
      <c r="R154" s="40" t="n"/>
      <c r="S154" s="40" t="n"/>
      <c r="T154" s="40" t="n"/>
    </row>
    <row r="155">
      <c r="A155" s="48" t="n"/>
      <c r="B155" s="34" t="n"/>
      <c r="C155" s="34" t="n"/>
      <c r="D155" s="15">
        <f>IF($C155="","",IFERROR(INDEX(Inventory!$B$4:$B$253,MATCH($C155,Inventory!$A$4:$A$253,0))&amp;" "&amp;INDEX(Inventory!$C$4:$C$253,MATCH($C155,Inventory!$A$4:$A$253,0)),"SKU not in Inventory"))</f>
        <v/>
      </c>
      <c r="E155" s="36" t="n"/>
      <c r="F155" s="35" t="n"/>
      <c r="G155" s="35" t="n"/>
      <c r="H155" s="49">
        <f>IF($C155="","",IFERROR(INDEX(Inventory!$H$4:$H$253,MATCH($C155,Inventory!$A$4:$A$253,0)),0))</f>
        <v/>
      </c>
      <c r="I155" s="34" t="n"/>
      <c r="J155" s="38">
        <f>IF($C155="","",MAX(0,$E155*$F155-$G155))</f>
        <v/>
      </c>
      <c r="K155" s="38">
        <f>IF(OR($C155="",$I155="No"),0,ROUND($J155*IFERROR(INDEX(Shows!$F$4:$F$23,MATCH($B155,Shows!$A$4:$A$23,0)),0),2))</f>
        <v/>
      </c>
      <c r="L155" s="38">
        <f>IF($C155="","",$E155*$H155)</f>
        <v/>
      </c>
      <c r="M155" s="38">
        <f>IF($C155="","",$J155-$L155-$P155)</f>
        <v/>
      </c>
      <c r="N155" s="34" t="n"/>
      <c r="O155" s="34" t="n"/>
      <c r="P155" s="38">
        <f>IF(OR($C155="",$N155&lt;&gt;"Card"),0,ROUND(($J155+$K155)*IFERROR(INDEX(Shows!$G$4:$G$23,MATCH($B155,Shows!$A$4:$A$23,0)),0)+IFERROR(INDEX(Shows!$H$4:$H$23,MATCH($B155,Shows!$A$4:$A$23,0)),0),2))</f>
        <v/>
      </c>
      <c r="Q155" s="38">
        <f>IF($C155="","",$J155+$K155-$P155)</f>
        <v/>
      </c>
      <c r="R155" s="34" t="n"/>
      <c r="S155" s="34" t="n"/>
      <c r="T155" s="34" t="n"/>
    </row>
    <row r="156">
      <c r="A156" s="46" t="n"/>
      <c r="B156" s="40" t="n"/>
      <c r="C156" s="40" t="n"/>
      <c r="D156" s="11">
        <f>IF($C156="","",IFERROR(INDEX(Inventory!$B$4:$B$253,MATCH($C156,Inventory!$A$4:$A$253,0))&amp;" "&amp;INDEX(Inventory!$C$4:$C$253,MATCH($C156,Inventory!$A$4:$A$253,0)),"SKU not in Inventory"))</f>
        <v/>
      </c>
      <c r="E156" s="42" t="n"/>
      <c r="F156" s="41" t="n"/>
      <c r="G156" s="41" t="n"/>
      <c r="H156" s="47">
        <f>IF($C156="","",IFERROR(INDEX(Inventory!$H$4:$H$253,MATCH($C156,Inventory!$A$4:$A$253,0)),0))</f>
        <v/>
      </c>
      <c r="I156" s="40" t="n"/>
      <c r="J156" s="44">
        <f>IF($C156="","",MAX(0,$E156*$F156-$G156))</f>
        <v/>
      </c>
      <c r="K156" s="44">
        <f>IF(OR($C156="",$I156="No"),0,ROUND($J156*IFERROR(INDEX(Shows!$F$4:$F$23,MATCH($B156,Shows!$A$4:$A$23,0)),0),2))</f>
        <v/>
      </c>
      <c r="L156" s="44">
        <f>IF($C156="","",$E156*$H156)</f>
        <v/>
      </c>
      <c r="M156" s="44">
        <f>IF($C156="","",$J156-$L156-$P156)</f>
        <v/>
      </c>
      <c r="N156" s="40" t="n"/>
      <c r="O156" s="40" t="n"/>
      <c r="P156" s="44">
        <f>IF(OR($C156="",$N156&lt;&gt;"Card"),0,ROUND(($J156+$K156)*IFERROR(INDEX(Shows!$G$4:$G$23,MATCH($B156,Shows!$A$4:$A$23,0)),0)+IFERROR(INDEX(Shows!$H$4:$H$23,MATCH($B156,Shows!$A$4:$A$23,0)),0),2))</f>
        <v/>
      </c>
      <c r="Q156" s="44">
        <f>IF($C156="","",$J156+$K156-$P156)</f>
        <v/>
      </c>
      <c r="R156" s="40" t="n"/>
      <c r="S156" s="40" t="n"/>
      <c r="T156" s="40" t="n"/>
    </row>
    <row r="157">
      <c r="A157" s="48" t="n"/>
      <c r="B157" s="34" t="n"/>
      <c r="C157" s="34" t="n"/>
      <c r="D157" s="15">
        <f>IF($C157="","",IFERROR(INDEX(Inventory!$B$4:$B$253,MATCH($C157,Inventory!$A$4:$A$253,0))&amp;" "&amp;INDEX(Inventory!$C$4:$C$253,MATCH($C157,Inventory!$A$4:$A$253,0)),"SKU not in Inventory"))</f>
        <v/>
      </c>
      <c r="E157" s="36" t="n"/>
      <c r="F157" s="35" t="n"/>
      <c r="G157" s="35" t="n"/>
      <c r="H157" s="49">
        <f>IF($C157="","",IFERROR(INDEX(Inventory!$H$4:$H$253,MATCH($C157,Inventory!$A$4:$A$253,0)),0))</f>
        <v/>
      </c>
      <c r="I157" s="34" t="n"/>
      <c r="J157" s="38">
        <f>IF($C157="","",MAX(0,$E157*$F157-$G157))</f>
        <v/>
      </c>
      <c r="K157" s="38">
        <f>IF(OR($C157="",$I157="No"),0,ROUND($J157*IFERROR(INDEX(Shows!$F$4:$F$23,MATCH($B157,Shows!$A$4:$A$23,0)),0),2))</f>
        <v/>
      </c>
      <c r="L157" s="38">
        <f>IF($C157="","",$E157*$H157)</f>
        <v/>
      </c>
      <c r="M157" s="38">
        <f>IF($C157="","",$J157-$L157-$P157)</f>
        <v/>
      </c>
      <c r="N157" s="34" t="n"/>
      <c r="O157" s="34" t="n"/>
      <c r="P157" s="38">
        <f>IF(OR($C157="",$N157&lt;&gt;"Card"),0,ROUND(($J157+$K157)*IFERROR(INDEX(Shows!$G$4:$G$23,MATCH($B157,Shows!$A$4:$A$23,0)),0)+IFERROR(INDEX(Shows!$H$4:$H$23,MATCH($B157,Shows!$A$4:$A$23,0)),0),2))</f>
        <v/>
      </c>
      <c r="Q157" s="38">
        <f>IF($C157="","",$J157+$K157-$P157)</f>
        <v/>
      </c>
      <c r="R157" s="34" t="n"/>
      <c r="S157" s="34" t="n"/>
      <c r="T157" s="34" t="n"/>
    </row>
    <row r="158">
      <c r="A158" s="46" t="n"/>
      <c r="B158" s="40" t="n"/>
      <c r="C158" s="40" t="n"/>
      <c r="D158" s="11">
        <f>IF($C158="","",IFERROR(INDEX(Inventory!$B$4:$B$253,MATCH($C158,Inventory!$A$4:$A$253,0))&amp;" "&amp;INDEX(Inventory!$C$4:$C$253,MATCH($C158,Inventory!$A$4:$A$253,0)),"SKU not in Inventory"))</f>
        <v/>
      </c>
      <c r="E158" s="42" t="n"/>
      <c r="F158" s="41" t="n"/>
      <c r="G158" s="41" t="n"/>
      <c r="H158" s="47">
        <f>IF($C158="","",IFERROR(INDEX(Inventory!$H$4:$H$253,MATCH($C158,Inventory!$A$4:$A$253,0)),0))</f>
        <v/>
      </c>
      <c r="I158" s="40" t="n"/>
      <c r="J158" s="44">
        <f>IF($C158="","",MAX(0,$E158*$F158-$G158))</f>
        <v/>
      </c>
      <c r="K158" s="44">
        <f>IF(OR($C158="",$I158="No"),0,ROUND($J158*IFERROR(INDEX(Shows!$F$4:$F$23,MATCH($B158,Shows!$A$4:$A$23,0)),0),2))</f>
        <v/>
      </c>
      <c r="L158" s="44">
        <f>IF($C158="","",$E158*$H158)</f>
        <v/>
      </c>
      <c r="M158" s="44">
        <f>IF($C158="","",$J158-$L158-$P158)</f>
        <v/>
      </c>
      <c r="N158" s="40" t="n"/>
      <c r="O158" s="40" t="n"/>
      <c r="P158" s="44">
        <f>IF(OR($C158="",$N158&lt;&gt;"Card"),0,ROUND(($J158+$K158)*IFERROR(INDEX(Shows!$G$4:$G$23,MATCH($B158,Shows!$A$4:$A$23,0)),0)+IFERROR(INDEX(Shows!$H$4:$H$23,MATCH($B158,Shows!$A$4:$A$23,0)),0),2))</f>
        <v/>
      </c>
      <c r="Q158" s="44">
        <f>IF($C158="","",$J158+$K158-$P158)</f>
        <v/>
      </c>
      <c r="R158" s="40" t="n"/>
      <c r="S158" s="40" t="n"/>
      <c r="T158" s="40" t="n"/>
    </row>
    <row r="159">
      <c r="A159" s="48" t="n"/>
      <c r="B159" s="34" t="n"/>
      <c r="C159" s="34" t="n"/>
      <c r="D159" s="15">
        <f>IF($C159="","",IFERROR(INDEX(Inventory!$B$4:$B$253,MATCH($C159,Inventory!$A$4:$A$253,0))&amp;" "&amp;INDEX(Inventory!$C$4:$C$253,MATCH($C159,Inventory!$A$4:$A$253,0)),"SKU not in Inventory"))</f>
        <v/>
      </c>
      <c r="E159" s="36" t="n"/>
      <c r="F159" s="35" t="n"/>
      <c r="G159" s="35" t="n"/>
      <c r="H159" s="49">
        <f>IF($C159="","",IFERROR(INDEX(Inventory!$H$4:$H$253,MATCH($C159,Inventory!$A$4:$A$253,0)),0))</f>
        <v/>
      </c>
      <c r="I159" s="34" t="n"/>
      <c r="J159" s="38">
        <f>IF($C159="","",MAX(0,$E159*$F159-$G159))</f>
        <v/>
      </c>
      <c r="K159" s="38">
        <f>IF(OR($C159="",$I159="No"),0,ROUND($J159*IFERROR(INDEX(Shows!$F$4:$F$23,MATCH($B159,Shows!$A$4:$A$23,0)),0),2))</f>
        <v/>
      </c>
      <c r="L159" s="38">
        <f>IF($C159="","",$E159*$H159)</f>
        <v/>
      </c>
      <c r="M159" s="38">
        <f>IF($C159="","",$J159-$L159-$P159)</f>
        <v/>
      </c>
      <c r="N159" s="34" t="n"/>
      <c r="O159" s="34" t="n"/>
      <c r="P159" s="38">
        <f>IF(OR($C159="",$N159&lt;&gt;"Card"),0,ROUND(($J159+$K159)*IFERROR(INDEX(Shows!$G$4:$G$23,MATCH($B159,Shows!$A$4:$A$23,0)),0)+IFERROR(INDEX(Shows!$H$4:$H$23,MATCH($B159,Shows!$A$4:$A$23,0)),0),2))</f>
        <v/>
      </c>
      <c r="Q159" s="38">
        <f>IF($C159="","",$J159+$K159-$P159)</f>
        <v/>
      </c>
      <c r="R159" s="34" t="n"/>
      <c r="S159" s="34" t="n"/>
      <c r="T159" s="34" t="n"/>
    </row>
    <row r="160">
      <c r="A160" s="46" t="n"/>
      <c r="B160" s="40" t="n"/>
      <c r="C160" s="40" t="n"/>
      <c r="D160" s="11">
        <f>IF($C160="","",IFERROR(INDEX(Inventory!$B$4:$B$253,MATCH($C160,Inventory!$A$4:$A$253,0))&amp;" "&amp;INDEX(Inventory!$C$4:$C$253,MATCH($C160,Inventory!$A$4:$A$253,0)),"SKU not in Inventory"))</f>
        <v/>
      </c>
      <c r="E160" s="42" t="n"/>
      <c r="F160" s="41" t="n"/>
      <c r="G160" s="41" t="n"/>
      <c r="H160" s="47">
        <f>IF($C160="","",IFERROR(INDEX(Inventory!$H$4:$H$253,MATCH($C160,Inventory!$A$4:$A$253,0)),0))</f>
        <v/>
      </c>
      <c r="I160" s="40" t="n"/>
      <c r="J160" s="44">
        <f>IF($C160="","",MAX(0,$E160*$F160-$G160))</f>
        <v/>
      </c>
      <c r="K160" s="44">
        <f>IF(OR($C160="",$I160="No"),0,ROUND($J160*IFERROR(INDEX(Shows!$F$4:$F$23,MATCH($B160,Shows!$A$4:$A$23,0)),0),2))</f>
        <v/>
      </c>
      <c r="L160" s="44">
        <f>IF($C160="","",$E160*$H160)</f>
        <v/>
      </c>
      <c r="M160" s="44">
        <f>IF($C160="","",$J160-$L160-$P160)</f>
        <v/>
      </c>
      <c r="N160" s="40" t="n"/>
      <c r="O160" s="40" t="n"/>
      <c r="P160" s="44">
        <f>IF(OR($C160="",$N160&lt;&gt;"Card"),0,ROUND(($J160+$K160)*IFERROR(INDEX(Shows!$G$4:$G$23,MATCH($B160,Shows!$A$4:$A$23,0)),0)+IFERROR(INDEX(Shows!$H$4:$H$23,MATCH($B160,Shows!$A$4:$A$23,0)),0),2))</f>
        <v/>
      </c>
      <c r="Q160" s="44">
        <f>IF($C160="","",$J160+$K160-$P160)</f>
        <v/>
      </c>
      <c r="R160" s="40" t="n"/>
      <c r="S160" s="40" t="n"/>
      <c r="T160" s="40" t="n"/>
    </row>
    <row r="161">
      <c r="A161" s="48" t="n"/>
      <c r="B161" s="34" t="n"/>
      <c r="C161" s="34" t="n"/>
      <c r="D161" s="15">
        <f>IF($C161="","",IFERROR(INDEX(Inventory!$B$4:$B$253,MATCH($C161,Inventory!$A$4:$A$253,0))&amp;" "&amp;INDEX(Inventory!$C$4:$C$253,MATCH($C161,Inventory!$A$4:$A$253,0)),"SKU not in Inventory"))</f>
        <v/>
      </c>
      <c r="E161" s="36" t="n"/>
      <c r="F161" s="35" t="n"/>
      <c r="G161" s="35" t="n"/>
      <c r="H161" s="49">
        <f>IF($C161="","",IFERROR(INDEX(Inventory!$H$4:$H$253,MATCH($C161,Inventory!$A$4:$A$253,0)),0))</f>
        <v/>
      </c>
      <c r="I161" s="34" t="n"/>
      <c r="J161" s="38">
        <f>IF($C161="","",MAX(0,$E161*$F161-$G161))</f>
        <v/>
      </c>
      <c r="K161" s="38">
        <f>IF(OR($C161="",$I161="No"),0,ROUND($J161*IFERROR(INDEX(Shows!$F$4:$F$23,MATCH($B161,Shows!$A$4:$A$23,0)),0),2))</f>
        <v/>
      </c>
      <c r="L161" s="38">
        <f>IF($C161="","",$E161*$H161)</f>
        <v/>
      </c>
      <c r="M161" s="38">
        <f>IF($C161="","",$J161-$L161-$P161)</f>
        <v/>
      </c>
      <c r="N161" s="34" t="n"/>
      <c r="O161" s="34" t="n"/>
      <c r="P161" s="38">
        <f>IF(OR($C161="",$N161&lt;&gt;"Card"),0,ROUND(($J161+$K161)*IFERROR(INDEX(Shows!$G$4:$G$23,MATCH($B161,Shows!$A$4:$A$23,0)),0)+IFERROR(INDEX(Shows!$H$4:$H$23,MATCH($B161,Shows!$A$4:$A$23,0)),0),2))</f>
        <v/>
      </c>
      <c r="Q161" s="38">
        <f>IF($C161="","",$J161+$K161-$P161)</f>
        <v/>
      </c>
      <c r="R161" s="34" t="n"/>
      <c r="S161" s="34" t="n"/>
      <c r="T161" s="34" t="n"/>
    </row>
    <row r="162">
      <c r="A162" s="46" t="n"/>
      <c r="B162" s="40" t="n"/>
      <c r="C162" s="40" t="n"/>
      <c r="D162" s="11">
        <f>IF($C162="","",IFERROR(INDEX(Inventory!$B$4:$B$253,MATCH($C162,Inventory!$A$4:$A$253,0))&amp;" "&amp;INDEX(Inventory!$C$4:$C$253,MATCH($C162,Inventory!$A$4:$A$253,0)),"SKU not in Inventory"))</f>
        <v/>
      </c>
      <c r="E162" s="42" t="n"/>
      <c r="F162" s="41" t="n"/>
      <c r="G162" s="41" t="n"/>
      <c r="H162" s="47">
        <f>IF($C162="","",IFERROR(INDEX(Inventory!$H$4:$H$253,MATCH($C162,Inventory!$A$4:$A$253,0)),0))</f>
        <v/>
      </c>
      <c r="I162" s="40" t="n"/>
      <c r="J162" s="44">
        <f>IF($C162="","",MAX(0,$E162*$F162-$G162))</f>
        <v/>
      </c>
      <c r="K162" s="44">
        <f>IF(OR($C162="",$I162="No"),0,ROUND($J162*IFERROR(INDEX(Shows!$F$4:$F$23,MATCH($B162,Shows!$A$4:$A$23,0)),0),2))</f>
        <v/>
      </c>
      <c r="L162" s="44">
        <f>IF($C162="","",$E162*$H162)</f>
        <v/>
      </c>
      <c r="M162" s="44">
        <f>IF($C162="","",$J162-$L162-$P162)</f>
        <v/>
      </c>
      <c r="N162" s="40" t="n"/>
      <c r="O162" s="40" t="n"/>
      <c r="P162" s="44">
        <f>IF(OR($C162="",$N162&lt;&gt;"Card"),0,ROUND(($J162+$K162)*IFERROR(INDEX(Shows!$G$4:$G$23,MATCH($B162,Shows!$A$4:$A$23,0)),0)+IFERROR(INDEX(Shows!$H$4:$H$23,MATCH($B162,Shows!$A$4:$A$23,0)),0),2))</f>
        <v/>
      </c>
      <c r="Q162" s="44">
        <f>IF($C162="","",$J162+$K162-$P162)</f>
        <v/>
      </c>
      <c r="R162" s="40" t="n"/>
      <c r="S162" s="40" t="n"/>
      <c r="T162" s="40" t="n"/>
    </row>
    <row r="163">
      <c r="A163" s="48" t="n"/>
      <c r="B163" s="34" t="n"/>
      <c r="C163" s="34" t="n"/>
      <c r="D163" s="15">
        <f>IF($C163="","",IFERROR(INDEX(Inventory!$B$4:$B$253,MATCH($C163,Inventory!$A$4:$A$253,0))&amp;" "&amp;INDEX(Inventory!$C$4:$C$253,MATCH($C163,Inventory!$A$4:$A$253,0)),"SKU not in Inventory"))</f>
        <v/>
      </c>
      <c r="E163" s="36" t="n"/>
      <c r="F163" s="35" t="n"/>
      <c r="G163" s="35" t="n"/>
      <c r="H163" s="49">
        <f>IF($C163="","",IFERROR(INDEX(Inventory!$H$4:$H$253,MATCH($C163,Inventory!$A$4:$A$253,0)),0))</f>
        <v/>
      </c>
      <c r="I163" s="34" t="n"/>
      <c r="J163" s="38">
        <f>IF($C163="","",MAX(0,$E163*$F163-$G163))</f>
        <v/>
      </c>
      <c r="K163" s="38">
        <f>IF(OR($C163="",$I163="No"),0,ROUND($J163*IFERROR(INDEX(Shows!$F$4:$F$23,MATCH($B163,Shows!$A$4:$A$23,0)),0),2))</f>
        <v/>
      </c>
      <c r="L163" s="38">
        <f>IF($C163="","",$E163*$H163)</f>
        <v/>
      </c>
      <c r="M163" s="38">
        <f>IF($C163="","",$J163-$L163-$P163)</f>
        <v/>
      </c>
      <c r="N163" s="34" t="n"/>
      <c r="O163" s="34" t="n"/>
      <c r="P163" s="38">
        <f>IF(OR($C163="",$N163&lt;&gt;"Card"),0,ROUND(($J163+$K163)*IFERROR(INDEX(Shows!$G$4:$G$23,MATCH($B163,Shows!$A$4:$A$23,0)),0)+IFERROR(INDEX(Shows!$H$4:$H$23,MATCH($B163,Shows!$A$4:$A$23,0)),0),2))</f>
        <v/>
      </c>
      <c r="Q163" s="38">
        <f>IF($C163="","",$J163+$K163-$P163)</f>
        <v/>
      </c>
      <c r="R163" s="34" t="n"/>
      <c r="S163" s="34" t="n"/>
      <c r="T163" s="34" t="n"/>
    </row>
    <row r="164">
      <c r="A164" s="46" t="n"/>
      <c r="B164" s="40" t="n"/>
      <c r="C164" s="40" t="n"/>
      <c r="D164" s="11">
        <f>IF($C164="","",IFERROR(INDEX(Inventory!$B$4:$B$253,MATCH($C164,Inventory!$A$4:$A$253,0))&amp;" "&amp;INDEX(Inventory!$C$4:$C$253,MATCH($C164,Inventory!$A$4:$A$253,0)),"SKU not in Inventory"))</f>
        <v/>
      </c>
      <c r="E164" s="42" t="n"/>
      <c r="F164" s="41" t="n"/>
      <c r="G164" s="41" t="n"/>
      <c r="H164" s="47">
        <f>IF($C164="","",IFERROR(INDEX(Inventory!$H$4:$H$253,MATCH($C164,Inventory!$A$4:$A$253,0)),0))</f>
        <v/>
      </c>
      <c r="I164" s="40" t="n"/>
      <c r="J164" s="44">
        <f>IF($C164="","",MAX(0,$E164*$F164-$G164))</f>
        <v/>
      </c>
      <c r="K164" s="44">
        <f>IF(OR($C164="",$I164="No"),0,ROUND($J164*IFERROR(INDEX(Shows!$F$4:$F$23,MATCH($B164,Shows!$A$4:$A$23,0)),0),2))</f>
        <v/>
      </c>
      <c r="L164" s="44">
        <f>IF($C164="","",$E164*$H164)</f>
        <v/>
      </c>
      <c r="M164" s="44">
        <f>IF($C164="","",$J164-$L164-$P164)</f>
        <v/>
      </c>
      <c r="N164" s="40" t="n"/>
      <c r="O164" s="40" t="n"/>
      <c r="P164" s="44">
        <f>IF(OR($C164="",$N164&lt;&gt;"Card"),0,ROUND(($J164+$K164)*IFERROR(INDEX(Shows!$G$4:$G$23,MATCH($B164,Shows!$A$4:$A$23,0)),0)+IFERROR(INDEX(Shows!$H$4:$H$23,MATCH($B164,Shows!$A$4:$A$23,0)),0),2))</f>
        <v/>
      </c>
      <c r="Q164" s="44">
        <f>IF($C164="","",$J164+$K164-$P164)</f>
        <v/>
      </c>
      <c r="R164" s="40" t="n"/>
      <c r="S164" s="40" t="n"/>
      <c r="T164" s="40" t="n"/>
    </row>
    <row r="165">
      <c r="A165" s="48" t="n"/>
      <c r="B165" s="34" t="n"/>
      <c r="C165" s="34" t="n"/>
      <c r="D165" s="15">
        <f>IF($C165="","",IFERROR(INDEX(Inventory!$B$4:$B$253,MATCH($C165,Inventory!$A$4:$A$253,0))&amp;" "&amp;INDEX(Inventory!$C$4:$C$253,MATCH($C165,Inventory!$A$4:$A$253,0)),"SKU not in Inventory"))</f>
        <v/>
      </c>
      <c r="E165" s="36" t="n"/>
      <c r="F165" s="35" t="n"/>
      <c r="G165" s="35" t="n"/>
      <c r="H165" s="49">
        <f>IF($C165="","",IFERROR(INDEX(Inventory!$H$4:$H$253,MATCH($C165,Inventory!$A$4:$A$253,0)),0))</f>
        <v/>
      </c>
      <c r="I165" s="34" t="n"/>
      <c r="J165" s="38">
        <f>IF($C165="","",MAX(0,$E165*$F165-$G165))</f>
        <v/>
      </c>
      <c r="K165" s="38">
        <f>IF(OR($C165="",$I165="No"),0,ROUND($J165*IFERROR(INDEX(Shows!$F$4:$F$23,MATCH($B165,Shows!$A$4:$A$23,0)),0),2))</f>
        <v/>
      </c>
      <c r="L165" s="38">
        <f>IF($C165="","",$E165*$H165)</f>
        <v/>
      </c>
      <c r="M165" s="38">
        <f>IF($C165="","",$J165-$L165-$P165)</f>
        <v/>
      </c>
      <c r="N165" s="34" t="n"/>
      <c r="O165" s="34" t="n"/>
      <c r="P165" s="38">
        <f>IF(OR($C165="",$N165&lt;&gt;"Card"),0,ROUND(($J165+$K165)*IFERROR(INDEX(Shows!$G$4:$G$23,MATCH($B165,Shows!$A$4:$A$23,0)),0)+IFERROR(INDEX(Shows!$H$4:$H$23,MATCH($B165,Shows!$A$4:$A$23,0)),0),2))</f>
        <v/>
      </c>
      <c r="Q165" s="38">
        <f>IF($C165="","",$J165+$K165-$P165)</f>
        <v/>
      </c>
      <c r="R165" s="34" t="n"/>
      <c r="S165" s="34" t="n"/>
      <c r="T165" s="34" t="n"/>
    </row>
    <row r="166">
      <c r="A166" s="46" t="n"/>
      <c r="B166" s="40" t="n"/>
      <c r="C166" s="40" t="n"/>
      <c r="D166" s="11">
        <f>IF($C166="","",IFERROR(INDEX(Inventory!$B$4:$B$253,MATCH($C166,Inventory!$A$4:$A$253,0))&amp;" "&amp;INDEX(Inventory!$C$4:$C$253,MATCH($C166,Inventory!$A$4:$A$253,0)),"SKU not in Inventory"))</f>
        <v/>
      </c>
      <c r="E166" s="42" t="n"/>
      <c r="F166" s="41" t="n"/>
      <c r="G166" s="41" t="n"/>
      <c r="H166" s="47">
        <f>IF($C166="","",IFERROR(INDEX(Inventory!$H$4:$H$253,MATCH($C166,Inventory!$A$4:$A$253,0)),0))</f>
        <v/>
      </c>
      <c r="I166" s="40" t="n"/>
      <c r="J166" s="44">
        <f>IF($C166="","",MAX(0,$E166*$F166-$G166))</f>
        <v/>
      </c>
      <c r="K166" s="44">
        <f>IF(OR($C166="",$I166="No"),0,ROUND($J166*IFERROR(INDEX(Shows!$F$4:$F$23,MATCH($B166,Shows!$A$4:$A$23,0)),0),2))</f>
        <v/>
      </c>
      <c r="L166" s="44">
        <f>IF($C166="","",$E166*$H166)</f>
        <v/>
      </c>
      <c r="M166" s="44">
        <f>IF($C166="","",$J166-$L166-$P166)</f>
        <v/>
      </c>
      <c r="N166" s="40" t="n"/>
      <c r="O166" s="40" t="n"/>
      <c r="P166" s="44">
        <f>IF(OR($C166="",$N166&lt;&gt;"Card"),0,ROUND(($J166+$K166)*IFERROR(INDEX(Shows!$G$4:$G$23,MATCH($B166,Shows!$A$4:$A$23,0)),0)+IFERROR(INDEX(Shows!$H$4:$H$23,MATCH($B166,Shows!$A$4:$A$23,0)),0),2))</f>
        <v/>
      </c>
      <c r="Q166" s="44">
        <f>IF($C166="","",$J166+$K166-$P166)</f>
        <v/>
      </c>
      <c r="R166" s="40" t="n"/>
      <c r="S166" s="40" t="n"/>
      <c r="T166" s="40" t="n"/>
    </row>
    <row r="167">
      <c r="A167" s="48" t="n"/>
      <c r="B167" s="34" t="n"/>
      <c r="C167" s="34" t="n"/>
      <c r="D167" s="15">
        <f>IF($C167="","",IFERROR(INDEX(Inventory!$B$4:$B$253,MATCH($C167,Inventory!$A$4:$A$253,0))&amp;" "&amp;INDEX(Inventory!$C$4:$C$253,MATCH($C167,Inventory!$A$4:$A$253,0)),"SKU not in Inventory"))</f>
        <v/>
      </c>
      <c r="E167" s="36" t="n"/>
      <c r="F167" s="35" t="n"/>
      <c r="G167" s="35" t="n"/>
      <c r="H167" s="49">
        <f>IF($C167="","",IFERROR(INDEX(Inventory!$H$4:$H$253,MATCH($C167,Inventory!$A$4:$A$253,0)),0))</f>
        <v/>
      </c>
      <c r="I167" s="34" t="n"/>
      <c r="J167" s="38">
        <f>IF($C167="","",MAX(0,$E167*$F167-$G167))</f>
        <v/>
      </c>
      <c r="K167" s="38">
        <f>IF(OR($C167="",$I167="No"),0,ROUND($J167*IFERROR(INDEX(Shows!$F$4:$F$23,MATCH($B167,Shows!$A$4:$A$23,0)),0),2))</f>
        <v/>
      </c>
      <c r="L167" s="38">
        <f>IF($C167="","",$E167*$H167)</f>
        <v/>
      </c>
      <c r="M167" s="38">
        <f>IF($C167="","",$J167-$L167-$P167)</f>
        <v/>
      </c>
      <c r="N167" s="34" t="n"/>
      <c r="O167" s="34" t="n"/>
      <c r="P167" s="38">
        <f>IF(OR($C167="",$N167&lt;&gt;"Card"),0,ROUND(($J167+$K167)*IFERROR(INDEX(Shows!$G$4:$G$23,MATCH($B167,Shows!$A$4:$A$23,0)),0)+IFERROR(INDEX(Shows!$H$4:$H$23,MATCH($B167,Shows!$A$4:$A$23,0)),0),2))</f>
        <v/>
      </c>
      <c r="Q167" s="38">
        <f>IF($C167="","",$J167+$K167-$P167)</f>
        <v/>
      </c>
      <c r="R167" s="34" t="n"/>
      <c r="S167" s="34" t="n"/>
      <c r="T167" s="34" t="n"/>
    </row>
    <row r="168">
      <c r="A168" s="46" t="n"/>
      <c r="B168" s="40" t="n"/>
      <c r="C168" s="40" t="n"/>
      <c r="D168" s="11">
        <f>IF($C168="","",IFERROR(INDEX(Inventory!$B$4:$B$253,MATCH($C168,Inventory!$A$4:$A$253,0))&amp;" "&amp;INDEX(Inventory!$C$4:$C$253,MATCH($C168,Inventory!$A$4:$A$253,0)),"SKU not in Inventory"))</f>
        <v/>
      </c>
      <c r="E168" s="42" t="n"/>
      <c r="F168" s="41" t="n"/>
      <c r="G168" s="41" t="n"/>
      <c r="H168" s="47">
        <f>IF($C168="","",IFERROR(INDEX(Inventory!$H$4:$H$253,MATCH($C168,Inventory!$A$4:$A$253,0)),0))</f>
        <v/>
      </c>
      <c r="I168" s="40" t="n"/>
      <c r="J168" s="44">
        <f>IF($C168="","",MAX(0,$E168*$F168-$G168))</f>
        <v/>
      </c>
      <c r="K168" s="44">
        <f>IF(OR($C168="",$I168="No"),0,ROUND($J168*IFERROR(INDEX(Shows!$F$4:$F$23,MATCH($B168,Shows!$A$4:$A$23,0)),0),2))</f>
        <v/>
      </c>
      <c r="L168" s="44">
        <f>IF($C168="","",$E168*$H168)</f>
        <v/>
      </c>
      <c r="M168" s="44">
        <f>IF($C168="","",$J168-$L168-$P168)</f>
        <v/>
      </c>
      <c r="N168" s="40" t="n"/>
      <c r="O168" s="40" t="n"/>
      <c r="P168" s="44">
        <f>IF(OR($C168="",$N168&lt;&gt;"Card"),0,ROUND(($J168+$K168)*IFERROR(INDEX(Shows!$G$4:$G$23,MATCH($B168,Shows!$A$4:$A$23,0)),0)+IFERROR(INDEX(Shows!$H$4:$H$23,MATCH($B168,Shows!$A$4:$A$23,0)),0),2))</f>
        <v/>
      </c>
      <c r="Q168" s="44">
        <f>IF($C168="","",$J168+$K168-$P168)</f>
        <v/>
      </c>
      <c r="R168" s="40" t="n"/>
      <c r="S168" s="40" t="n"/>
      <c r="T168" s="40" t="n"/>
    </row>
    <row r="169">
      <c r="A169" s="48" t="n"/>
      <c r="B169" s="34" t="n"/>
      <c r="C169" s="34" t="n"/>
      <c r="D169" s="15">
        <f>IF($C169="","",IFERROR(INDEX(Inventory!$B$4:$B$253,MATCH($C169,Inventory!$A$4:$A$253,0))&amp;" "&amp;INDEX(Inventory!$C$4:$C$253,MATCH($C169,Inventory!$A$4:$A$253,0)),"SKU not in Inventory"))</f>
        <v/>
      </c>
      <c r="E169" s="36" t="n"/>
      <c r="F169" s="35" t="n"/>
      <c r="G169" s="35" t="n"/>
      <c r="H169" s="49">
        <f>IF($C169="","",IFERROR(INDEX(Inventory!$H$4:$H$253,MATCH($C169,Inventory!$A$4:$A$253,0)),0))</f>
        <v/>
      </c>
      <c r="I169" s="34" t="n"/>
      <c r="J169" s="38">
        <f>IF($C169="","",MAX(0,$E169*$F169-$G169))</f>
        <v/>
      </c>
      <c r="K169" s="38">
        <f>IF(OR($C169="",$I169="No"),0,ROUND($J169*IFERROR(INDEX(Shows!$F$4:$F$23,MATCH($B169,Shows!$A$4:$A$23,0)),0),2))</f>
        <v/>
      </c>
      <c r="L169" s="38">
        <f>IF($C169="","",$E169*$H169)</f>
        <v/>
      </c>
      <c r="M169" s="38">
        <f>IF($C169="","",$J169-$L169-$P169)</f>
        <v/>
      </c>
      <c r="N169" s="34" t="n"/>
      <c r="O169" s="34" t="n"/>
      <c r="P169" s="38">
        <f>IF(OR($C169="",$N169&lt;&gt;"Card"),0,ROUND(($J169+$K169)*IFERROR(INDEX(Shows!$G$4:$G$23,MATCH($B169,Shows!$A$4:$A$23,0)),0)+IFERROR(INDEX(Shows!$H$4:$H$23,MATCH($B169,Shows!$A$4:$A$23,0)),0),2))</f>
        <v/>
      </c>
      <c r="Q169" s="38">
        <f>IF($C169="","",$J169+$K169-$P169)</f>
        <v/>
      </c>
      <c r="R169" s="34" t="n"/>
      <c r="S169" s="34" t="n"/>
      <c r="T169" s="34" t="n"/>
    </row>
    <row r="170">
      <c r="A170" s="46" t="n"/>
      <c r="B170" s="40" t="n"/>
      <c r="C170" s="40" t="n"/>
      <c r="D170" s="11">
        <f>IF($C170="","",IFERROR(INDEX(Inventory!$B$4:$B$253,MATCH($C170,Inventory!$A$4:$A$253,0))&amp;" "&amp;INDEX(Inventory!$C$4:$C$253,MATCH($C170,Inventory!$A$4:$A$253,0)),"SKU not in Inventory"))</f>
        <v/>
      </c>
      <c r="E170" s="42" t="n"/>
      <c r="F170" s="41" t="n"/>
      <c r="G170" s="41" t="n"/>
      <c r="H170" s="47">
        <f>IF($C170="","",IFERROR(INDEX(Inventory!$H$4:$H$253,MATCH($C170,Inventory!$A$4:$A$253,0)),0))</f>
        <v/>
      </c>
      <c r="I170" s="40" t="n"/>
      <c r="J170" s="44">
        <f>IF($C170="","",MAX(0,$E170*$F170-$G170))</f>
        <v/>
      </c>
      <c r="K170" s="44">
        <f>IF(OR($C170="",$I170="No"),0,ROUND($J170*IFERROR(INDEX(Shows!$F$4:$F$23,MATCH($B170,Shows!$A$4:$A$23,0)),0),2))</f>
        <v/>
      </c>
      <c r="L170" s="44">
        <f>IF($C170="","",$E170*$H170)</f>
        <v/>
      </c>
      <c r="M170" s="44">
        <f>IF($C170="","",$J170-$L170-$P170)</f>
        <v/>
      </c>
      <c r="N170" s="40" t="n"/>
      <c r="O170" s="40" t="n"/>
      <c r="P170" s="44">
        <f>IF(OR($C170="",$N170&lt;&gt;"Card"),0,ROUND(($J170+$K170)*IFERROR(INDEX(Shows!$G$4:$G$23,MATCH($B170,Shows!$A$4:$A$23,0)),0)+IFERROR(INDEX(Shows!$H$4:$H$23,MATCH($B170,Shows!$A$4:$A$23,0)),0),2))</f>
        <v/>
      </c>
      <c r="Q170" s="44">
        <f>IF($C170="","",$J170+$K170-$P170)</f>
        <v/>
      </c>
      <c r="R170" s="40" t="n"/>
      <c r="S170" s="40" t="n"/>
      <c r="T170" s="40" t="n"/>
    </row>
    <row r="171">
      <c r="A171" s="48" t="n"/>
      <c r="B171" s="34" t="n"/>
      <c r="C171" s="34" t="n"/>
      <c r="D171" s="15">
        <f>IF($C171="","",IFERROR(INDEX(Inventory!$B$4:$B$253,MATCH($C171,Inventory!$A$4:$A$253,0))&amp;" "&amp;INDEX(Inventory!$C$4:$C$253,MATCH($C171,Inventory!$A$4:$A$253,0)),"SKU not in Inventory"))</f>
        <v/>
      </c>
      <c r="E171" s="36" t="n"/>
      <c r="F171" s="35" t="n"/>
      <c r="G171" s="35" t="n"/>
      <c r="H171" s="49">
        <f>IF($C171="","",IFERROR(INDEX(Inventory!$H$4:$H$253,MATCH($C171,Inventory!$A$4:$A$253,0)),0))</f>
        <v/>
      </c>
      <c r="I171" s="34" t="n"/>
      <c r="J171" s="38">
        <f>IF($C171="","",MAX(0,$E171*$F171-$G171))</f>
        <v/>
      </c>
      <c r="K171" s="38">
        <f>IF(OR($C171="",$I171="No"),0,ROUND($J171*IFERROR(INDEX(Shows!$F$4:$F$23,MATCH($B171,Shows!$A$4:$A$23,0)),0),2))</f>
        <v/>
      </c>
      <c r="L171" s="38">
        <f>IF($C171="","",$E171*$H171)</f>
        <v/>
      </c>
      <c r="M171" s="38">
        <f>IF($C171="","",$J171-$L171-$P171)</f>
        <v/>
      </c>
      <c r="N171" s="34" t="n"/>
      <c r="O171" s="34" t="n"/>
      <c r="P171" s="38">
        <f>IF(OR($C171="",$N171&lt;&gt;"Card"),0,ROUND(($J171+$K171)*IFERROR(INDEX(Shows!$G$4:$G$23,MATCH($B171,Shows!$A$4:$A$23,0)),0)+IFERROR(INDEX(Shows!$H$4:$H$23,MATCH($B171,Shows!$A$4:$A$23,0)),0),2))</f>
        <v/>
      </c>
      <c r="Q171" s="38">
        <f>IF($C171="","",$J171+$K171-$P171)</f>
        <v/>
      </c>
      <c r="R171" s="34" t="n"/>
      <c r="S171" s="34" t="n"/>
      <c r="T171" s="34" t="n"/>
    </row>
    <row r="172">
      <c r="A172" s="46" t="n"/>
      <c r="B172" s="40" t="n"/>
      <c r="C172" s="40" t="n"/>
      <c r="D172" s="11">
        <f>IF($C172="","",IFERROR(INDEX(Inventory!$B$4:$B$253,MATCH($C172,Inventory!$A$4:$A$253,0))&amp;" "&amp;INDEX(Inventory!$C$4:$C$253,MATCH($C172,Inventory!$A$4:$A$253,0)),"SKU not in Inventory"))</f>
        <v/>
      </c>
      <c r="E172" s="42" t="n"/>
      <c r="F172" s="41" t="n"/>
      <c r="G172" s="41" t="n"/>
      <c r="H172" s="47">
        <f>IF($C172="","",IFERROR(INDEX(Inventory!$H$4:$H$253,MATCH($C172,Inventory!$A$4:$A$253,0)),0))</f>
        <v/>
      </c>
      <c r="I172" s="40" t="n"/>
      <c r="J172" s="44">
        <f>IF($C172="","",MAX(0,$E172*$F172-$G172))</f>
        <v/>
      </c>
      <c r="K172" s="44">
        <f>IF(OR($C172="",$I172="No"),0,ROUND($J172*IFERROR(INDEX(Shows!$F$4:$F$23,MATCH($B172,Shows!$A$4:$A$23,0)),0),2))</f>
        <v/>
      </c>
      <c r="L172" s="44">
        <f>IF($C172="","",$E172*$H172)</f>
        <v/>
      </c>
      <c r="M172" s="44">
        <f>IF($C172="","",$J172-$L172-$P172)</f>
        <v/>
      </c>
      <c r="N172" s="40" t="n"/>
      <c r="O172" s="40" t="n"/>
      <c r="P172" s="44">
        <f>IF(OR($C172="",$N172&lt;&gt;"Card"),0,ROUND(($J172+$K172)*IFERROR(INDEX(Shows!$G$4:$G$23,MATCH($B172,Shows!$A$4:$A$23,0)),0)+IFERROR(INDEX(Shows!$H$4:$H$23,MATCH($B172,Shows!$A$4:$A$23,0)),0),2))</f>
        <v/>
      </c>
      <c r="Q172" s="44">
        <f>IF($C172="","",$J172+$K172-$P172)</f>
        <v/>
      </c>
      <c r="R172" s="40" t="n"/>
      <c r="S172" s="40" t="n"/>
      <c r="T172" s="40" t="n"/>
    </row>
    <row r="173">
      <c r="A173" s="48" t="n"/>
      <c r="B173" s="34" t="n"/>
      <c r="C173" s="34" t="n"/>
      <c r="D173" s="15">
        <f>IF($C173="","",IFERROR(INDEX(Inventory!$B$4:$B$253,MATCH($C173,Inventory!$A$4:$A$253,0))&amp;" "&amp;INDEX(Inventory!$C$4:$C$253,MATCH($C173,Inventory!$A$4:$A$253,0)),"SKU not in Inventory"))</f>
        <v/>
      </c>
      <c r="E173" s="36" t="n"/>
      <c r="F173" s="35" t="n"/>
      <c r="G173" s="35" t="n"/>
      <c r="H173" s="49">
        <f>IF($C173="","",IFERROR(INDEX(Inventory!$H$4:$H$253,MATCH($C173,Inventory!$A$4:$A$253,0)),0))</f>
        <v/>
      </c>
      <c r="I173" s="34" t="n"/>
      <c r="J173" s="38">
        <f>IF($C173="","",MAX(0,$E173*$F173-$G173))</f>
        <v/>
      </c>
      <c r="K173" s="38">
        <f>IF(OR($C173="",$I173="No"),0,ROUND($J173*IFERROR(INDEX(Shows!$F$4:$F$23,MATCH($B173,Shows!$A$4:$A$23,0)),0),2))</f>
        <v/>
      </c>
      <c r="L173" s="38">
        <f>IF($C173="","",$E173*$H173)</f>
        <v/>
      </c>
      <c r="M173" s="38">
        <f>IF($C173="","",$J173-$L173-$P173)</f>
        <v/>
      </c>
      <c r="N173" s="34" t="n"/>
      <c r="O173" s="34" t="n"/>
      <c r="P173" s="38">
        <f>IF(OR($C173="",$N173&lt;&gt;"Card"),0,ROUND(($J173+$K173)*IFERROR(INDEX(Shows!$G$4:$G$23,MATCH($B173,Shows!$A$4:$A$23,0)),0)+IFERROR(INDEX(Shows!$H$4:$H$23,MATCH($B173,Shows!$A$4:$A$23,0)),0),2))</f>
        <v/>
      </c>
      <c r="Q173" s="38">
        <f>IF($C173="","",$J173+$K173-$P173)</f>
        <v/>
      </c>
      <c r="R173" s="34" t="n"/>
      <c r="S173" s="34" t="n"/>
      <c r="T173" s="34" t="n"/>
    </row>
    <row r="174">
      <c r="A174" s="46" t="n"/>
      <c r="B174" s="40" t="n"/>
      <c r="C174" s="40" t="n"/>
      <c r="D174" s="11">
        <f>IF($C174="","",IFERROR(INDEX(Inventory!$B$4:$B$253,MATCH($C174,Inventory!$A$4:$A$253,0))&amp;" "&amp;INDEX(Inventory!$C$4:$C$253,MATCH($C174,Inventory!$A$4:$A$253,0)),"SKU not in Inventory"))</f>
        <v/>
      </c>
      <c r="E174" s="42" t="n"/>
      <c r="F174" s="41" t="n"/>
      <c r="G174" s="41" t="n"/>
      <c r="H174" s="47">
        <f>IF($C174="","",IFERROR(INDEX(Inventory!$H$4:$H$253,MATCH($C174,Inventory!$A$4:$A$253,0)),0))</f>
        <v/>
      </c>
      <c r="I174" s="40" t="n"/>
      <c r="J174" s="44">
        <f>IF($C174="","",MAX(0,$E174*$F174-$G174))</f>
        <v/>
      </c>
      <c r="K174" s="44">
        <f>IF(OR($C174="",$I174="No"),0,ROUND($J174*IFERROR(INDEX(Shows!$F$4:$F$23,MATCH($B174,Shows!$A$4:$A$23,0)),0),2))</f>
        <v/>
      </c>
      <c r="L174" s="44">
        <f>IF($C174="","",$E174*$H174)</f>
        <v/>
      </c>
      <c r="M174" s="44">
        <f>IF($C174="","",$J174-$L174-$P174)</f>
        <v/>
      </c>
      <c r="N174" s="40" t="n"/>
      <c r="O174" s="40" t="n"/>
      <c r="P174" s="44">
        <f>IF(OR($C174="",$N174&lt;&gt;"Card"),0,ROUND(($J174+$K174)*IFERROR(INDEX(Shows!$G$4:$G$23,MATCH($B174,Shows!$A$4:$A$23,0)),0)+IFERROR(INDEX(Shows!$H$4:$H$23,MATCH($B174,Shows!$A$4:$A$23,0)),0),2))</f>
        <v/>
      </c>
      <c r="Q174" s="44">
        <f>IF($C174="","",$J174+$K174-$P174)</f>
        <v/>
      </c>
      <c r="R174" s="40" t="n"/>
      <c r="S174" s="40" t="n"/>
      <c r="T174" s="40" t="n"/>
    </row>
    <row r="175">
      <c r="A175" s="48" t="n"/>
      <c r="B175" s="34" t="n"/>
      <c r="C175" s="34" t="n"/>
      <c r="D175" s="15">
        <f>IF($C175="","",IFERROR(INDEX(Inventory!$B$4:$B$253,MATCH($C175,Inventory!$A$4:$A$253,0))&amp;" "&amp;INDEX(Inventory!$C$4:$C$253,MATCH($C175,Inventory!$A$4:$A$253,0)),"SKU not in Inventory"))</f>
        <v/>
      </c>
      <c r="E175" s="36" t="n"/>
      <c r="F175" s="35" t="n"/>
      <c r="G175" s="35" t="n"/>
      <c r="H175" s="49">
        <f>IF($C175="","",IFERROR(INDEX(Inventory!$H$4:$H$253,MATCH($C175,Inventory!$A$4:$A$253,0)),0))</f>
        <v/>
      </c>
      <c r="I175" s="34" t="n"/>
      <c r="J175" s="38">
        <f>IF($C175="","",MAX(0,$E175*$F175-$G175))</f>
        <v/>
      </c>
      <c r="K175" s="38">
        <f>IF(OR($C175="",$I175="No"),0,ROUND($J175*IFERROR(INDEX(Shows!$F$4:$F$23,MATCH($B175,Shows!$A$4:$A$23,0)),0),2))</f>
        <v/>
      </c>
      <c r="L175" s="38">
        <f>IF($C175="","",$E175*$H175)</f>
        <v/>
      </c>
      <c r="M175" s="38">
        <f>IF($C175="","",$J175-$L175-$P175)</f>
        <v/>
      </c>
      <c r="N175" s="34" t="n"/>
      <c r="O175" s="34" t="n"/>
      <c r="P175" s="38">
        <f>IF(OR($C175="",$N175&lt;&gt;"Card"),0,ROUND(($J175+$K175)*IFERROR(INDEX(Shows!$G$4:$G$23,MATCH($B175,Shows!$A$4:$A$23,0)),0)+IFERROR(INDEX(Shows!$H$4:$H$23,MATCH($B175,Shows!$A$4:$A$23,0)),0),2))</f>
        <v/>
      </c>
      <c r="Q175" s="38">
        <f>IF($C175="","",$J175+$K175-$P175)</f>
        <v/>
      </c>
      <c r="R175" s="34" t="n"/>
      <c r="S175" s="34" t="n"/>
      <c r="T175" s="34" t="n"/>
    </row>
    <row r="176">
      <c r="A176" s="46" t="n"/>
      <c r="B176" s="40" t="n"/>
      <c r="C176" s="40" t="n"/>
      <c r="D176" s="11">
        <f>IF($C176="","",IFERROR(INDEX(Inventory!$B$4:$B$253,MATCH($C176,Inventory!$A$4:$A$253,0))&amp;" "&amp;INDEX(Inventory!$C$4:$C$253,MATCH($C176,Inventory!$A$4:$A$253,0)),"SKU not in Inventory"))</f>
        <v/>
      </c>
      <c r="E176" s="42" t="n"/>
      <c r="F176" s="41" t="n"/>
      <c r="G176" s="41" t="n"/>
      <c r="H176" s="47">
        <f>IF($C176="","",IFERROR(INDEX(Inventory!$H$4:$H$253,MATCH($C176,Inventory!$A$4:$A$253,0)),0))</f>
        <v/>
      </c>
      <c r="I176" s="40" t="n"/>
      <c r="J176" s="44">
        <f>IF($C176="","",MAX(0,$E176*$F176-$G176))</f>
        <v/>
      </c>
      <c r="K176" s="44">
        <f>IF(OR($C176="",$I176="No"),0,ROUND($J176*IFERROR(INDEX(Shows!$F$4:$F$23,MATCH($B176,Shows!$A$4:$A$23,0)),0),2))</f>
        <v/>
      </c>
      <c r="L176" s="44">
        <f>IF($C176="","",$E176*$H176)</f>
        <v/>
      </c>
      <c r="M176" s="44">
        <f>IF($C176="","",$J176-$L176-$P176)</f>
        <v/>
      </c>
      <c r="N176" s="40" t="n"/>
      <c r="O176" s="40" t="n"/>
      <c r="P176" s="44">
        <f>IF(OR($C176="",$N176&lt;&gt;"Card"),0,ROUND(($J176+$K176)*IFERROR(INDEX(Shows!$G$4:$G$23,MATCH($B176,Shows!$A$4:$A$23,0)),0)+IFERROR(INDEX(Shows!$H$4:$H$23,MATCH($B176,Shows!$A$4:$A$23,0)),0),2))</f>
        <v/>
      </c>
      <c r="Q176" s="44">
        <f>IF($C176="","",$J176+$K176-$P176)</f>
        <v/>
      </c>
      <c r="R176" s="40" t="n"/>
      <c r="S176" s="40" t="n"/>
      <c r="T176" s="40" t="n"/>
    </row>
    <row r="177">
      <c r="A177" s="48" t="n"/>
      <c r="B177" s="34" t="n"/>
      <c r="C177" s="34" t="n"/>
      <c r="D177" s="15">
        <f>IF($C177="","",IFERROR(INDEX(Inventory!$B$4:$B$253,MATCH($C177,Inventory!$A$4:$A$253,0))&amp;" "&amp;INDEX(Inventory!$C$4:$C$253,MATCH($C177,Inventory!$A$4:$A$253,0)),"SKU not in Inventory"))</f>
        <v/>
      </c>
      <c r="E177" s="36" t="n"/>
      <c r="F177" s="35" t="n"/>
      <c r="G177" s="35" t="n"/>
      <c r="H177" s="49">
        <f>IF($C177="","",IFERROR(INDEX(Inventory!$H$4:$H$253,MATCH($C177,Inventory!$A$4:$A$253,0)),0))</f>
        <v/>
      </c>
      <c r="I177" s="34" t="n"/>
      <c r="J177" s="38">
        <f>IF($C177="","",MAX(0,$E177*$F177-$G177))</f>
        <v/>
      </c>
      <c r="K177" s="38">
        <f>IF(OR($C177="",$I177="No"),0,ROUND($J177*IFERROR(INDEX(Shows!$F$4:$F$23,MATCH($B177,Shows!$A$4:$A$23,0)),0),2))</f>
        <v/>
      </c>
      <c r="L177" s="38">
        <f>IF($C177="","",$E177*$H177)</f>
        <v/>
      </c>
      <c r="M177" s="38">
        <f>IF($C177="","",$J177-$L177-$P177)</f>
        <v/>
      </c>
      <c r="N177" s="34" t="n"/>
      <c r="O177" s="34" t="n"/>
      <c r="P177" s="38">
        <f>IF(OR($C177="",$N177&lt;&gt;"Card"),0,ROUND(($J177+$K177)*IFERROR(INDEX(Shows!$G$4:$G$23,MATCH($B177,Shows!$A$4:$A$23,0)),0)+IFERROR(INDEX(Shows!$H$4:$H$23,MATCH($B177,Shows!$A$4:$A$23,0)),0),2))</f>
        <v/>
      </c>
      <c r="Q177" s="38">
        <f>IF($C177="","",$J177+$K177-$P177)</f>
        <v/>
      </c>
      <c r="R177" s="34" t="n"/>
      <c r="S177" s="34" t="n"/>
      <c r="T177" s="34" t="n"/>
    </row>
    <row r="178">
      <c r="A178" s="46" t="n"/>
      <c r="B178" s="40" t="n"/>
      <c r="C178" s="40" t="n"/>
      <c r="D178" s="11">
        <f>IF($C178="","",IFERROR(INDEX(Inventory!$B$4:$B$253,MATCH($C178,Inventory!$A$4:$A$253,0))&amp;" "&amp;INDEX(Inventory!$C$4:$C$253,MATCH($C178,Inventory!$A$4:$A$253,0)),"SKU not in Inventory"))</f>
        <v/>
      </c>
      <c r="E178" s="42" t="n"/>
      <c r="F178" s="41" t="n"/>
      <c r="G178" s="41" t="n"/>
      <c r="H178" s="47">
        <f>IF($C178="","",IFERROR(INDEX(Inventory!$H$4:$H$253,MATCH($C178,Inventory!$A$4:$A$253,0)),0))</f>
        <v/>
      </c>
      <c r="I178" s="40" t="n"/>
      <c r="J178" s="44">
        <f>IF($C178="","",MAX(0,$E178*$F178-$G178))</f>
        <v/>
      </c>
      <c r="K178" s="44">
        <f>IF(OR($C178="",$I178="No"),0,ROUND($J178*IFERROR(INDEX(Shows!$F$4:$F$23,MATCH($B178,Shows!$A$4:$A$23,0)),0),2))</f>
        <v/>
      </c>
      <c r="L178" s="44">
        <f>IF($C178="","",$E178*$H178)</f>
        <v/>
      </c>
      <c r="M178" s="44">
        <f>IF($C178="","",$J178-$L178-$P178)</f>
        <v/>
      </c>
      <c r="N178" s="40" t="n"/>
      <c r="O178" s="40" t="n"/>
      <c r="P178" s="44">
        <f>IF(OR($C178="",$N178&lt;&gt;"Card"),0,ROUND(($J178+$K178)*IFERROR(INDEX(Shows!$G$4:$G$23,MATCH($B178,Shows!$A$4:$A$23,0)),0)+IFERROR(INDEX(Shows!$H$4:$H$23,MATCH($B178,Shows!$A$4:$A$23,0)),0),2))</f>
        <v/>
      </c>
      <c r="Q178" s="44">
        <f>IF($C178="","",$J178+$K178-$P178)</f>
        <v/>
      </c>
      <c r="R178" s="40" t="n"/>
      <c r="S178" s="40" t="n"/>
      <c r="T178" s="40" t="n"/>
    </row>
    <row r="179">
      <c r="A179" s="48" t="n"/>
      <c r="B179" s="34" t="n"/>
      <c r="C179" s="34" t="n"/>
      <c r="D179" s="15">
        <f>IF($C179="","",IFERROR(INDEX(Inventory!$B$4:$B$253,MATCH($C179,Inventory!$A$4:$A$253,0))&amp;" "&amp;INDEX(Inventory!$C$4:$C$253,MATCH($C179,Inventory!$A$4:$A$253,0)),"SKU not in Inventory"))</f>
        <v/>
      </c>
      <c r="E179" s="36" t="n"/>
      <c r="F179" s="35" t="n"/>
      <c r="G179" s="35" t="n"/>
      <c r="H179" s="49">
        <f>IF($C179="","",IFERROR(INDEX(Inventory!$H$4:$H$253,MATCH($C179,Inventory!$A$4:$A$253,0)),0))</f>
        <v/>
      </c>
      <c r="I179" s="34" t="n"/>
      <c r="J179" s="38">
        <f>IF($C179="","",MAX(0,$E179*$F179-$G179))</f>
        <v/>
      </c>
      <c r="K179" s="38">
        <f>IF(OR($C179="",$I179="No"),0,ROUND($J179*IFERROR(INDEX(Shows!$F$4:$F$23,MATCH($B179,Shows!$A$4:$A$23,0)),0),2))</f>
        <v/>
      </c>
      <c r="L179" s="38">
        <f>IF($C179="","",$E179*$H179)</f>
        <v/>
      </c>
      <c r="M179" s="38">
        <f>IF($C179="","",$J179-$L179-$P179)</f>
        <v/>
      </c>
      <c r="N179" s="34" t="n"/>
      <c r="O179" s="34" t="n"/>
      <c r="P179" s="38">
        <f>IF(OR($C179="",$N179&lt;&gt;"Card"),0,ROUND(($J179+$K179)*IFERROR(INDEX(Shows!$G$4:$G$23,MATCH($B179,Shows!$A$4:$A$23,0)),0)+IFERROR(INDEX(Shows!$H$4:$H$23,MATCH($B179,Shows!$A$4:$A$23,0)),0),2))</f>
        <v/>
      </c>
      <c r="Q179" s="38">
        <f>IF($C179="","",$J179+$K179-$P179)</f>
        <v/>
      </c>
      <c r="R179" s="34" t="n"/>
      <c r="S179" s="34" t="n"/>
      <c r="T179" s="34" t="n"/>
    </row>
    <row r="180">
      <c r="A180" s="46" t="n"/>
      <c r="B180" s="40" t="n"/>
      <c r="C180" s="40" t="n"/>
      <c r="D180" s="11">
        <f>IF($C180="","",IFERROR(INDEX(Inventory!$B$4:$B$253,MATCH($C180,Inventory!$A$4:$A$253,0))&amp;" "&amp;INDEX(Inventory!$C$4:$C$253,MATCH($C180,Inventory!$A$4:$A$253,0)),"SKU not in Inventory"))</f>
        <v/>
      </c>
      <c r="E180" s="42" t="n"/>
      <c r="F180" s="41" t="n"/>
      <c r="G180" s="41" t="n"/>
      <c r="H180" s="47">
        <f>IF($C180="","",IFERROR(INDEX(Inventory!$H$4:$H$253,MATCH($C180,Inventory!$A$4:$A$253,0)),0))</f>
        <v/>
      </c>
      <c r="I180" s="40" t="n"/>
      <c r="J180" s="44">
        <f>IF($C180="","",MAX(0,$E180*$F180-$G180))</f>
        <v/>
      </c>
      <c r="K180" s="44">
        <f>IF(OR($C180="",$I180="No"),0,ROUND($J180*IFERROR(INDEX(Shows!$F$4:$F$23,MATCH($B180,Shows!$A$4:$A$23,0)),0),2))</f>
        <v/>
      </c>
      <c r="L180" s="44">
        <f>IF($C180="","",$E180*$H180)</f>
        <v/>
      </c>
      <c r="M180" s="44">
        <f>IF($C180="","",$J180-$L180-$P180)</f>
        <v/>
      </c>
      <c r="N180" s="40" t="n"/>
      <c r="O180" s="40" t="n"/>
      <c r="P180" s="44">
        <f>IF(OR($C180="",$N180&lt;&gt;"Card"),0,ROUND(($J180+$K180)*IFERROR(INDEX(Shows!$G$4:$G$23,MATCH($B180,Shows!$A$4:$A$23,0)),0)+IFERROR(INDEX(Shows!$H$4:$H$23,MATCH($B180,Shows!$A$4:$A$23,0)),0),2))</f>
        <v/>
      </c>
      <c r="Q180" s="44">
        <f>IF($C180="","",$J180+$K180-$P180)</f>
        <v/>
      </c>
      <c r="R180" s="40" t="n"/>
      <c r="S180" s="40" t="n"/>
      <c r="T180" s="40" t="n"/>
    </row>
    <row r="181">
      <c r="A181" s="48" t="n"/>
      <c r="B181" s="34" t="n"/>
      <c r="C181" s="34" t="n"/>
      <c r="D181" s="15">
        <f>IF($C181="","",IFERROR(INDEX(Inventory!$B$4:$B$253,MATCH($C181,Inventory!$A$4:$A$253,0))&amp;" "&amp;INDEX(Inventory!$C$4:$C$253,MATCH($C181,Inventory!$A$4:$A$253,0)),"SKU not in Inventory"))</f>
        <v/>
      </c>
      <c r="E181" s="36" t="n"/>
      <c r="F181" s="35" t="n"/>
      <c r="G181" s="35" t="n"/>
      <c r="H181" s="49">
        <f>IF($C181="","",IFERROR(INDEX(Inventory!$H$4:$H$253,MATCH($C181,Inventory!$A$4:$A$253,0)),0))</f>
        <v/>
      </c>
      <c r="I181" s="34" t="n"/>
      <c r="J181" s="38">
        <f>IF($C181="","",MAX(0,$E181*$F181-$G181))</f>
        <v/>
      </c>
      <c r="K181" s="38">
        <f>IF(OR($C181="",$I181="No"),0,ROUND($J181*IFERROR(INDEX(Shows!$F$4:$F$23,MATCH($B181,Shows!$A$4:$A$23,0)),0),2))</f>
        <v/>
      </c>
      <c r="L181" s="38">
        <f>IF($C181="","",$E181*$H181)</f>
        <v/>
      </c>
      <c r="M181" s="38">
        <f>IF($C181="","",$J181-$L181-$P181)</f>
        <v/>
      </c>
      <c r="N181" s="34" t="n"/>
      <c r="O181" s="34" t="n"/>
      <c r="P181" s="38">
        <f>IF(OR($C181="",$N181&lt;&gt;"Card"),0,ROUND(($J181+$K181)*IFERROR(INDEX(Shows!$G$4:$G$23,MATCH($B181,Shows!$A$4:$A$23,0)),0)+IFERROR(INDEX(Shows!$H$4:$H$23,MATCH($B181,Shows!$A$4:$A$23,0)),0),2))</f>
        <v/>
      </c>
      <c r="Q181" s="38">
        <f>IF($C181="","",$J181+$K181-$P181)</f>
        <v/>
      </c>
      <c r="R181" s="34" t="n"/>
      <c r="S181" s="34" t="n"/>
      <c r="T181" s="34" t="n"/>
    </row>
    <row r="182">
      <c r="A182" s="46" t="n"/>
      <c r="B182" s="40" t="n"/>
      <c r="C182" s="40" t="n"/>
      <c r="D182" s="11">
        <f>IF($C182="","",IFERROR(INDEX(Inventory!$B$4:$B$253,MATCH($C182,Inventory!$A$4:$A$253,0))&amp;" "&amp;INDEX(Inventory!$C$4:$C$253,MATCH($C182,Inventory!$A$4:$A$253,0)),"SKU not in Inventory"))</f>
        <v/>
      </c>
      <c r="E182" s="42" t="n"/>
      <c r="F182" s="41" t="n"/>
      <c r="G182" s="41" t="n"/>
      <c r="H182" s="47">
        <f>IF($C182="","",IFERROR(INDEX(Inventory!$H$4:$H$253,MATCH($C182,Inventory!$A$4:$A$253,0)),0))</f>
        <v/>
      </c>
      <c r="I182" s="40" t="n"/>
      <c r="J182" s="44">
        <f>IF($C182="","",MAX(0,$E182*$F182-$G182))</f>
        <v/>
      </c>
      <c r="K182" s="44">
        <f>IF(OR($C182="",$I182="No"),0,ROUND($J182*IFERROR(INDEX(Shows!$F$4:$F$23,MATCH($B182,Shows!$A$4:$A$23,0)),0),2))</f>
        <v/>
      </c>
      <c r="L182" s="44">
        <f>IF($C182="","",$E182*$H182)</f>
        <v/>
      </c>
      <c r="M182" s="44">
        <f>IF($C182="","",$J182-$L182-$P182)</f>
        <v/>
      </c>
      <c r="N182" s="40" t="n"/>
      <c r="O182" s="40" t="n"/>
      <c r="P182" s="44">
        <f>IF(OR($C182="",$N182&lt;&gt;"Card"),0,ROUND(($J182+$K182)*IFERROR(INDEX(Shows!$G$4:$G$23,MATCH($B182,Shows!$A$4:$A$23,0)),0)+IFERROR(INDEX(Shows!$H$4:$H$23,MATCH($B182,Shows!$A$4:$A$23,0)),0),2))</f>
        <v/>
      </c>
      <c r="Q182" s="44">
        <f>IF($C182="","",$J182+$K182-$P182)</f>
        <v/>
      </c>
      <c r="R182" s="40" t="n"/>
      <c r="S182" s="40" t="n"/>
      <c r="T182" s="40" t="n"/>
    </row>
    <row r="183">
      <c r="A183" s="48" t="n"/>
      <c r="B183" s="34" t="n"/>
      <c r="C183" s="34" t="n"/>
      <c r="D183" s="15">
        <f>IF($C183="","",IFERROR(INDEX(Inventory!$B$4:$B$253,MATCH($C183,Inventory!$A$4:$A$253,0))&amp;" "&amp;INDEX(Inventory!$C$4:$C$253,MATCH($C183,Inventory!$A$4:$A$253,0)),"SKU not in Inventory"))</f>
        <v/>
      </c>
      <c r="E183" s="36" t="n"/>
      <c r="F183" s="35" t="n"/>
      <c r="G183" s="35" t="n"/>
      <c r="H183" s="49">
        <f>IF($C183="","",IFERROR(INDEX(Inventory!$H$4:$H$253,MATCH($C183,Inventory!$A$4:$A$253,0)),0))</f>
        <v/>
      </c>
      <c r="I183" s="34" t="n"/>
      <c r="J183" s="38">
        <f>IF($C183="","",MAX(0,$E183*$F183-$G183))</f>
        <v/>
      </c>
      <c r="K183" s="38">
        <f>IF(OR($C183="",$I183="No"),0,ROUND($J183*IFERROR(INDEX(Shows!$F$4:$F$23,MATCH($B183,Shows!$A$4:$A$23,0)),0),2))</f>
        <v/>
      </c>
      <c r="L183" s="38">
        <f>IF($C183="","",$E183*$H183)</f>
        <v/>
      </c>
      <c r="M183" s="38">
        <f>IF($C183="","",$J183-$L183-$P183)</f>
        <v/>
      </c>
      <c r="N183" s="34" t="n"/>
      <c r="O183" s="34" t="n"/>
      <c r="P183" s="38">
        <f>IF(OR($C183="",$N183&lt;&gt;"Card"),0,ROUND(($J183+$K183)*IFERROR(INDEX(Shows!$G$4:$G$23,MATCH($B183,Shows!$A$4:$A$23,0)),0)+IFERROR(INDEX(Shows!$H$4:$H$23,MATCH($B183,Shows!$A$4:$A$23,0)),0),2))</f>
        <v/>
      </c>
      <c r="Q183" s="38">
        <f>IF($C183="","",$J183+$K183-$P183)</f>
        <v/>
      </c>
      <c r="R183" s="34" t="n"/>
      <c r="S183" s="34" t="n"/>
      <c r="T183" s="34" t="n"/>
    </row>
    <row r="184">
      <c r="A184" s="46" t="n"/>
      <c r="B184" s="40" t="n"/>
      <c r="C184" s="40" t="n"/>
      <c r="D184" s="11">
        <f>IF($C184="","",IFERROR(INDEX(Inventory!$B$4:$B$253,MATCH($C184,Inventory!$A$4:$A$253,0))&amp;" "&amp;INDEX(Inventory!$C$4:$C$253,MATCH($C184,Inventory!$A$4:$A$253,0)),"SKU not in Inventory"))</f>
        <v/>
      </c>
      <c r="E184" s="42" t="n"/>
      <c r="F184" s="41" t="n"/>
      <c r="G184" s="41" t="n"/>
      <c r="H184" s="47">
        <f>IF($C184="","",IFERROR(INDEX(Inventory!$H$4:$H$253,MATCH($C184,Inventory!$A$4:$A$253,0)),0))</f>
        <v/>
      </c>
      <c r="I184" s="40" t="n"/>
      <c r="J184" s="44">
        <f>IF($C184="","",MAX(0,$E184*$F184-$G184))</f>
        <v/>
      </c>
      <c r="K184" s="44">
        <f>IF(OR($C184="",$I184="No"),0,ROUND($J184*IFERROR(INDEX(Shows!$F$4:$F$23,MATCH($B184,Shows!$A$4:$A$23,0)),0),2))</f>
        <v/>
      </c>
      <c r="L184" s="44">
        <f>IF($C184="","",$E184*$H184)</f>
        <v/>
      </c>
      <c r="M184" s="44">
        <f>IF($C184="","",$J184-$L184-$P184)</f>
        <v/>
      </c>
      <c r="N184" s="40" t="n"/>
      <c r="O184" s="40" t="n"/>
      <c r="P184" s="44">
        <f>IF(OR($C184="",$N184&lt;&gt;"Card"),0,ROUND(($J184+$K184)*IFERROR(INDEX(Shows!$G$4:$G$23,MATCH($B184,Shows!$A$4:$A$23,0)),0)+IFERROR(INDEX(Shows!$H$4:$H$23,MATCH($B184,Shows!$A$4:$A$23,0)),0),2))</f>
        <v/>
      </c>
      <c r="Q184" s="44">
        <f>IF($C184="","",$J184+$K184-$P184)</f>
        <v/>
      </c>
      <c r="R184" s="40" t="n"/>
      <c r="S184" s="40" t="n"/>
      <c r="T184" s="40" t="n"/>
    </row>
    <row r="185">
      <c r="A185" s="48" t="n"/>
      <c r="B185" s="34" t="n"/>
      <c r="C185" s="34" t="n"/>
      <c r="D185" s="15">
        <f>IF($C185="","",IFERROR(INDEX(Inventory!$B$4:$B$253,MATCH($C185,Inventory!$A$4:$A$253,0))&amp;" "&amp;INDEX(Inventory!$C$4:$C$253,MATCH($C185,Inventory!$A$4:$A$253,0)),"SKU not in Inventory"))</f>
        <v/>
      </c>
      <c r="E185" s="36" t="n"/>
      <c r="F185" s="35" t="n"/>
      <c r="G185" s="35" t="n"/>
      <c r="H185" s="49">
        <f>IF($C185="","",IFERROR(INDEX(Inventory!$H$4:$H$253,MATCH($C185,Inventory!$A$4:$A$253,0)),0))</f>
        <v/>
      </c>
      <c r="I185" s="34" t="n"/>
      <c r="J185" s="38">
        <f>IF($C185="","",MAX(0,$E185*$F185-$G185))</f>
        <v/>
      </c>
      <c r="K185" s="38">
        <f>IF(OR($C185="",$I185="No"),0,ROUND($J185*IFERROR(INDEX(Shows!$F$4:$F$23,MATCH($B185,Shows!$A$4:$A$23,0)),0),2))</f>
        <v/>
      </c>
      <c r="L185" s="38">
        <f>IF($C185="","",$E185*$H185)</f>
        <v/>
      </c>
      <c r="M185" s="38">
        <f>IF($C185="","",$J185-$L185-$P185)</f>
        <v/>
      </c>
      <c r="N185" s="34" t="n"/>
      <c r="O185" s="34" t="n"/>
      <c r="P185" s="38">
        <f>IF(OR($C185="",$N185&lt;&gt;"Card"),0,ROUND(($J185+$K185)*IFERROR(INDEX(Shows!$G$4:$G$23,MATCH($B185,Shows!$A$4:$A$23,0)),0)+IFERROR(INDEX(Shows!$H$4:$H$23,MATCH($B185,Shows!$A$4:$A$23,0)),0),2))</f>
        <v/>
      </c>
      <c r="Q185" s="38">
        <f>IF($C185="","",$J185+$K185-$P185)</f>
        <v/>
      </c>
      <c r="R185" s="34" t="n"/>
      <c r="S185" s="34" t="n"/>
      <c r="T185" s="34" t="n"/>
    </row>
    <row r="186">
      <c r="A186" s="46" t="n"/>
      <c r="B186" s="40" t="n"/>
      <c r="C186" s="40" t="n"/>
      <c r="D186" s="11">
        <f>IF($C186="","",IFERROR(INDEX(Inventory!$B$4:$B$253,MATCH($C186,Inventory!$A$4:$A$253,0))&amp;" "&amp;INDEX(Inventory!$C$4:$C$253,MATCH($C186,Inventory!$A$4:$A$253,0)),"SKU not in Inventory"))</f>
        <v/>
      </c>
      <c r="E186" s="42" t="n"/>
      <c r="F186" s="41" t="n"/>
      <c r="G186" s="41" t="n"/>
      <c r="H186" s="47">
        <f>IF($C186="","",IFERROR(INDEX(Inventory!$H$4:$H$253,MATCH($C186,Inventory!$A$4:$A$253,0)),0))</f>
        <v/>
      </c>
      <c r="I186" s="40" t="n"/>
      <c r="J186" s="44">
        <f>IF($C186="","",MAX(0,$E186*$F186-$G186))</f>
        <v/>
      </c>
      <c r="K186" s="44">
        <f>IF(OR($C186="",$I186="No"),0,ROUND($J186*IFERROR(INDEX(Shows!$F$4:$F$23,MATCH($B186,Shows!$A$4:$A$23,0)),0),2))</f>
        <v/>
      </c>
      <c r="L186" s="44">
        <f>IF($C186="","",$E186*$H186)</f>
        <v/>
      </c>
      <c r="M186" s="44">
        <f>IF($C186="","",$J186-$L186-$P186)</f>
        <v/>
      </c>
      <c r="N186" s="40" t="n"/>
      <c r="O186" s="40" t="n"/>
      <c r="P186" s="44">
        <f>IF(OR($C186="",$N186&lt;&gt;"Card"),0,ROUND(($J186+$K186)*IFERROR(INDEX(Shows!$G$4:$G$23,MATCH($B186,Shows!$A$4:$A$23,0)),0)+IFERROR(INDEX(Shows!$H$4:$H$23,MATCH($B186,Shows!$A$4:$A$23,0)),0),2))</f>
        <v/>
      </c>
      <c r="Q186" s="44">
        <f>IF($C186="","",$J186+$K186-$P186)</f>
        <v/>
      </c>
      <c r="R186" s="40" t="n"/>
      <c r="S186" s="40" t="n"/>
      <c r="T186" s="40" t="n"/>
    </row>
    <row r="187">
      <c r="A187" s="48" t="n"/>
      <c r="B187" s="34" t="n"/>
      <c r="C187" s="34" t="n"/>
      <c r="D187" s="15">
        <f>IF($C187="","",IFERROR(INDEX(Inventory!$B$4:$B$253,MATCH($C187,Inventory!$A$4:$A$253,0))&amp;" "&amp;INDEX(Inventory!$C$4:$C$253,MATCH($C187,Inventory!$A$4:$A$253,0)),"SKU not in Inventory"))</f>
        <v/>
      </c>
      <c r="E187" s="36" t="n"/>
      <c r="F187" s="35" t="n"/>
      <c r="G187" s="35" t="n"/>
      <c r="H187" s="49">
        <f>IF($C187="","",IFERROR(INDEX(Inventory!$H$4:$H$253,MATCH($C187,Inventory!$A$4:$A$253,0)),0))</f>
        <v/>
      </c>
      <c r="I187" s="34" t="n"/>
      <c r="J187" s="38">
        <f>IF($C187="","",MAX(0,$E187*$F187-$G187))</f>
        <v/>
      </c>
      <c r="K187" s="38">
        <f>IF(OR($C187="",$I187="No"),0,ROUND($J187*IFERROR(INDEX(Shows!$F$4:$F$23,MATCH($B187,Shows!$A$4:$A$23,0)),0),2))</f>
        <v/>
      </c>
      <c r="L187" s="38">
        <f>IF($C187="","",$E187*$H187)</f>
        <v/>
      </c>
      <c r="M187" s="38">
        <f>IF($C187="","",$J187-$L187-$P187)</f>
        <v/>
      </c>
      <c r="N187" s="34" t="n"/>
      <c r="O187" s="34" t="n"/>
      <c r="P187" s="38">
        <f>IF(OR($C187="",$N187&lt;&gt;"Card"),0,ROUND(($J187+$K187)*IFERROR(INDEX(Shows!$G$4:$G$23,MATCH($B187,Shows!$A$4:$A$23,0)),0)+IFERROR(INDEX(Shows!$H$4:$H$23,MATCH($B187,Shows!$A$4:$A$23,0)),0),2))</f>
        <v/>
      </c>
      <c r="Q187" s="38">
        <f>IF($C187="","",$J187+$K187-$P187)</f>
        <v/>
      </c>
      <c r="R187" s="34" t="n"/>
      <c r="S187" s="34" t="n"/>
      <c r="T187" s="34" t="n"/>
    </row>
    <row r="188">
      <c r="A188" s="46" t="n"/>
      <c r="B188" s="40" t="n"/>
      <c r="C188" s="40" t="n"/>
      <c r="D188" s="11">
        <f>IF($C188="","",IFERROR(INDEX(Inventory!$B$4:$B$253,MATCH($C188,Inventory!$A$4:$A$253,0))&amp;" "&amp;INDEX(Inventory!$C$4:$C$253,MATCH($C188,Inventory!$A$4:$A$253,0)),"SKU not in Inventory"))</f>
        <v/>
      </c>
      <c r="E188" s="42" t="n"/>
      <c r="F188" s="41" t="n"/>
      <c r="G188" s="41" t="n"/>
      <c r="H188" s="47">
        <f>IF($C188="","",IFERROR(INDEX(Inventory!$H$4:$H$253,MATCH($C188,Inventory!$A$4:$A$253,0)),0))</f>
        <v/>
      </c>
      <c r="I188" s="40" t="n"/>
      <c r="J188" s="44">
        <f>IF($C188="","",MAX(0,$E188*$F188-$G188))</f>
        <v/>
      </c>
      <c r="K188" s="44">
        <f>IF(OR($C188="",$I188="No"),0,ROUND($J188*IFERROR(INDEX(Shows!$F$4:$F$23,MATCH($B188,Shows!$A$4:$A$23,0)),0),2))</f>
        <v/>
      </c>
      <c r="L188" s="44">
        <f>IF($C188="","",$E188*$H188)</f>
        <v/>
      </c>
      <c r="M188" s="44">
        <f>IF($C188="","",$J188-$L188-$P188)</f>
        <v/>
      </c>
      <c r="N188" s="40" t="n"/>
      <c r="O188" s="40" t="n"/>
      <c r="P188" s="44">
        <f>IF(OR($C188="",$N188&lt;&gt;"Card"),0,ROUND(($J188+$K188)*IFERROR(INDEX(Shows!$G$4:$G$23,MATCH($B188,Shows!$A$4:$A$23,0)),0)+IFERROR(INDEX(Shows!$H$4:$H$23,MATCH($B188,Shows!$A$4:$A$23,0)),0),2))</f>
        <v/>
      </c>
      <c r="Q188" s="44">
        <f>IF($C188="","",$J188+$K188-$P188)</f>
        <v/>
      </c>
      <c r="R188" s="40" t="n"/>
      <c r="S188" s="40" t="n"/>
      <c r="T188" s="40" t="n"/>
    </row>
    <row r="189">
      <c r="A189" s="48" t="n"/>
      <c r="B189" s="34" t="n"/>
      <c r="C189" s="34" t="n"/>
      <c r="D189" s="15">
        <f>IF($C189="","",IFERROR(INDEX(Inventory!$B$4:$B$253,MATCH($C189,Inventory!$A$4:$A$253,0))&amp;" "&amp;INDEX(Inventory!$C$4:$C$253,MATCH($C189,Inventory!$A$4:$A$253,0)),"SKU not in Inventory"))</f>
        <v/>
      </c>
      <c r="E189" s="36" t="n"/>
      <c r="F189" s="35" t="n"/>
      <c r="G189" s="35" t="n"/>
      <c r="H189" s="49">
        <f>IF($C189="","",IFERROR(INDEX(Inventory!$H$4:$H$253,MATCH($C189,Inventory!$A$4:$A$253,0)),0))</f>
        <v/>
      </c>
      <c r="I189" s="34" t="n"/>
      <c r="J189" s="38">
        <f>IF($C189="","",MAX(0,$E189*$F189-$G189))</f>
        <v/>
      </c>
      <c r="K189" s="38">
        <f>IF(OR($C189="",$I189="No"),0,ROUND($J189*IFERROR(INDEX(Shows!$F$4:$F$23,MATCH($B189,Shows!$A$4:$A$23,0)),0),2))</f>
        <v/>
      </c>
      <c r="L189" s="38">
        <f>IF($C189="","",$E189*$H189)</f>
        <v/>
      </c>
      <c r="M189" s="38">
        <f>IF($C189="","",$J189-$L189-$P189)</f>
        <v/>
      </c>
      <c r="N189" s="34" t="n"/>
      <c r="O189" s="34" t="n"/>
      <c r="P189" s="38">
        <f>IF(OR($C189="",$N189&lt;&gt;"Card"),0,ROUND(($J189+$K189)*IFERROR(INDEX(Shows!$G$4:$G$23,MATCH($B189,Shows!$A$4:$A$23,0)),0)+IFERROR(INDEX(Shows!$H$4:$H$23,MATCH($B189,Shows!$A$4:$A$23,0)),0),2))</f>
        <v/>
      </c>
      <c r="Q189" s="38">
        <f>IF($C189="","",$J189+$K189-$P189)</f>
        <v/>
      </c>
      <c r="R189" s="34" t="n"/>
      <c r="S189" s="34" t="n"/>
      <c r="T189" s="34" t="n"/>
    </row>
    <row r="190">
      <c r="A190" s="46" t="n"/>
      <c r="B190" s="40" t="n"/>
      <c r="C190" s="40" t="n"/>
      <c r="D190" s="11">
        <f>IF($C190="","",IFERROR(INDEX(Inventory!$B$4:$B$253,MATCH($C190,Inventory!$A$4:$A$253,0))&amp;" "&amp;INDEX(Inventory!$C$4:$C$253,MATCH($C190,Inventory!$A$4:$A$253,0)),"SKU not in Inventory"))</f>
        <v/>
      </c>
      <c r="E190" s="42" t="n"/>
      <c r="F190" s="41" t="n"/>
      <c r="G190" s="41" t="n"/>
      <c r="H190" s="47">
        <f>IF($C190="","",IFERROR(INDEX(Inventory!$H$4:$H$253,MATCH($C190,Inventory!$A$4:$A$253,0)),0))</f>
        <v/>
      </c>
      <c r="I190" s="40" t="n"/>
      <c r="J190" s="44">
        <f>IF($C190="","",MAX(0,$E190*$F190-$G190))</f>
        <v/>
      </c>
      <c r="K190" s="44">
        <f>IF(OR($C190="",$I190="No"),0,ROUND($J190*IFERROR(INDEX(Shows!$F$4:$F$23,MATCH($B190,Shows!$A$4:$A$23,0)),0),2))</f>
        <v/>
      </c>
      <c r="L190" s="44">
        <f>IF($C190="","",$E190*$H190)</f>
        <v/>
      </c>
      <c r="M190" s="44">
        <f>IF($C190="","",$J190-$L190-$P190)</f>
        <v/>
      </c>
      <c r="N190" s="40" t="n"/>
      <c r="O190" s="40" t="n"/>
      <c r="P190" s="44">
        <f>IF(OR($C190="",$N190&lt;&gt;"Card"),0,ROUND(($J190+$K190)*IFERROR(INDEX(Shows!$G$4:$G$23,MATCH($B190,Shows!$A$4:$A$23,0)),0)+IFERROR(INDEX(Shows!$H$4:$H$23,MATCH($B190,Shows!$A$4:$A$23,0)),0),2))</f>
        <v/>
      </c>
      <c r="Q190" s="44">
        <f>IF($C190="","",$J190+$K190-$P190)</f>
        <v/>
      </c>
      <c r="R190" s="40" t="n"/>
      <c r="S190" s="40" t="n"/>
      <c r="T190" s="40" t="n"/>
    </row>
    <row r="191">
      <c r="A191" s="48" t="n"/>
      <c r="B191" s="34" t="n"/>
      <c r="C191" s="34" t="n"/>
      <c r="D191" s="15">
        <f>IF($C191="","",IFERROR(INDEX(Inventory!$B$4:$B$253,MATCH($C191,Inventory!$A$4:$A$253,0))&amp;" "&amp;INDEX(Inventory!$C$4:$C$253,MATCH($C191,Inventory!$A$4:$A$253,0)),"SKU not in Inventory"))</f>
        <v/>
      </c>
      <c r="E191" s="36" t="n"/>
      <c r="F191" s="35" t="n"/>
      <c r="G191" s="35" t="n"/>
      <c r="H191" s="49">
        <f>IF($C191="","",IFERROR(INDEX(Inventory!$H$4:$H$253,MATCH($C191,Inventory!$A$4:$A$253,0)),0))</f>
        <v/>
      </c>
      <c r="I191" s="34" t="n"/>
      <c r="J191" s="38">
        <f>IF($C191="","",MAX(0,$E191*$F191-$G191))</f>
        <v/>
      </c>
      <c r="K191" s="38">
        <f>IF(OR($C191="",$I191="No"),0,ROUND($J191*IFERROR(INDEX(Shows!$F$4:$F$23,MATCH($B191,Shows!$A$4:$A$23,0)),0),2))</f>
        <v/>
      </c>
      <c r="L191" s="38">
        <f>IF($C191="","",$E191*$H191)</f>
        <v/>
      </c>
      <c r="M191" s="38">
        <f>IF($C191="","",$J191-$L191-$P191)</f>
        <v/>
      </c>
      <c r="N191" s="34" t="n"/>
      <c r="O191" s="34" t="n"/>
      <c r="P191" s="38">
        <f>IF(OR($C191="",$N191&lt;&gt;"Card"),0,ROUND(($J191+$K191)*IFERROR(INDEX(Shows!$G$4:$G$23,MATCH($B191,Shows!$A$4:$A$23,0)),0)+IFERROR(INDEX(Shows!$H$4:$H$23,MATCH($B191,Shows!$A$4:$A$23,0)),0),2))</f>
        <v/>
      </c>
      <c r="Q191" s="38">
        <f>IF($C191="","",$J191+$K191-$P191)</f>
        <v/>
      </c>
      <c r="R191" s="34" t="n"/>
      <c r="S191" s="34" t="n"/>
      <c r="T191" s="34" t="n"/>
    </row>
    <row r="192">
      <c r="A192" s="46" t="n"/>
      <c r="B192" s="40" t="n"/>
      <c r="C192" s="40" t="n"/>
      <c r="D192" s="11">
        <f>IF($C192="","",IFERROR(INDEX(Inventory!$B$4:$B$253,MATCH($C192,Inventory!$A$4:$A$253,0))&amp;" "&amp;INDEX(Inventory!$C$4:$C$253,MATCH($C192,Inventory!$A$4:$A$253,0)),"SKU not in Inventory"))</f>
        <v/>
      </c>
      <c r="E192" s="42" t="n"/>
      <c r="F192" s="41" t="n"/>
      <c r="G192" s="41" t="n"/>
      <c r="H192" s="47">
        <f>IF($C192="","",IFERROR(INDEX(Inventory!$H$4:$H$253,MATCH($C192,Inventory!$A$4:$A$253,0)),0))</f>
        <v/>
      </c>
      <c r="I192" s="40" t="n"/>
      <c r="J192" s="44">
        <f>IF($C192="","",MAX(0,$E192*$F192-$G192))</f>
        <v/>
      </c>
      <c r="K192" s="44">
        <f>IF(OR($C192="",$I192="No"),0,ROUND($J192*IFERROR(INDEX(Shows!$F$4:$F$23,MATCH($B192,Shows!$A$4:$A$23,0)),0),2))</f>
        <v/>
      </c>
      <c r="L192" s="44">
        <f>IF($C192="","",$E192*$H192)</f>
        <v/>
      </c>
      <c r="M192" s="44">
        <f>IF($C192="","",$J192-$L192-$P192)</f>
        <v/>
      </c>
      <c r="N192" s="40" t="n"/>
      <c r="O192" s="40" t="n"/>
      <c r="P192" s="44">
        <f>IF(OR($C192="",$N192&lt;&gt;"Card"),0,ROUND(($J192+$K192)*IFERROR(INDEX(Shows!$G$4:$G$23,MATCH($B192,Shows!$A$4:$A$23,0)),0)+IFERROR(INDEX(Shows!$H$4:$H$23,MATCH($B192,Shows!$A$4:$A$23,0)),0),2))</f>
        <v/>
      </c>
      <c r="Q192" s="44">
        <f>IF($C192="","",$J192+$K192-$P192)</f>
        <v/>
      </c>
      <c r="R192" s="40" t="n"/>
      <c r="S192" s="40" t="n"/>
      <c r="T192" s="40" t="n"/>
    </row>
    <row r="193">
      <c r="A193" s="48" t="n"/>
      <c r="B193" s="34" t="n"/>
      <c r="C193" s="34" t="n"/>
      <c r="D193" s="15">
        <f>IF($C193="","",IFERROR(INDEX(Inventory!$B$4:$B$253,MATCH($C193,Inventory!$A$4:$A$253,0))&amp;" "&amp;INDEX(Inventory!$C$4:$C$253,MATCH($C193,Inventory!$A$4:$A$253,0)),"SKU not in Inventory"))</f>
        <v/>
      </c>
      <c r="E193" s="36" t="n"/>
      <c r="F193" s="35" t="n"/>
      <c r="G193" s="35" t="n"/>
      <c r="H193" s="49">
        <f>IF($C193="","",IFERROR(INDEX(Inventory!$H$4:$H$253,MATCH($C193,Inventory!$A$4:$A$253,0)),0))</f>
        <v/>
      </c>
      <c r="I193" s="34" t="n"/>
      <c r="J193" s="38">
        <f>IF($C193="","",MAX(0,$E193*$F193-$G193))</f>
        <v/>
      </c>
      <c r="K193" s="38">
        <f>IF(OR($C193="",$I193="No"),0,ROUND($J193*IFERROR(INDEX(Shows!$F$4:$F$23,MATCH($B193,Shows!$A$4:$A$23,0)),0),2))</f>
        <v/>
      </c>
      <c r="L193" s="38">
        <f>IF($C193="","",$E193*$H193)</f>
        <v/>
      </c>
      <c r="M193" s="38">
        <f>IF($C193="","",$J193-$L193-$P193)</f>
        <v/>
      </c>
      <c r="N193" s="34" t="n"/>
      <c r="O193" s="34" t="n"/>
      <c r="P193" s="38">
        <f>IF(OR($C193="",$N193&lt;&gt;"Card"),0,ROUND(($J193+$K193)*IFERROR(INDEX(Shows!$G$4:$G$23,MATCH($B193,Shows!$A$4:$A$23,0)),0)+IFERROR(INDEX(Shows!$H$4:$H$23,MATCH($B193,Shows!$A$4:$A$23,0)),0),2))</f>
        <v/>
      </c>
      <c r="Q193" s="38">
        <f>IF($C193="","",$J193+$K193-$P193)</f>
        <v/>
      </c>
      <c r="R193" s="34" t="n"/>
      <c r="S193" s="34" t="n"/>
      <c r="T193" s="34" t="n"/>
    </row>
    <row r="194">
      <c r="A194" s="46" t="n"/>
      <c r="B194" s="40" t="n"/>
      <c r="C194" s="40" t="n"/>
      <c r="D194" s="11">
        <f>IF($C194="","",IFERROR(INDEX(Inventory!$B$4:$B$253,MATCH($C194,Inventory!$A$4:$A$253,0))&amp;" "&amp;INDEX(Inventory!$C$4:$C$253,MATCH($C194,Inventory!$A$4:$A$253,0)),"SKU not in Inventory"))</f>
        <v/>
      </c>
      <c r="E194" s="42" t="n"/>
      <c r="F194" s="41" t="n"/>
      <c r="G194" s="41" t="n"/>
      <c r="H194" s="47">
        <f>IF($C194="","",IFERROR(INDEX(Inventory!$H$4:$H$253,MATCH($C194,Inventory!$A$4:$A$253,0)),0))</f>
        <v/>
      </c>
      <c r="I194" s="40" t="n"/>
      <c r="J194" s="44">
        <f>IF($C194="","",MAX(0,$E194*$F194-$G194))</f>
        <v/>
      </c>
      <c r="K194" s="44">
        <f>IF(OR($C194="",$I194="No"),0,ROUND($J194*IFERROR(INDEX(Shows!$F$4:$F$23,MATCH($B194,Shows!$A$4:$A$23,0)),0),2))</f>
        <v/>
      </c>
      <c r="L194" s="44">
        <f>IF($C194="","",$E194*$H194)</f>
        <v/>
      </c>
      <c r="M194" s="44">
        <f>IF($C194="","",$J194-$L194-$P194)</f>
        <v/>
      </c>
      <c r="N194" s="40" t="n"/>
      <c r="O194" s="40" t="n"/>
      <c r="P194" s="44">
        <f>IF(OR($C194="",$N194&lt;&gt;"Card"),0,ROUND(($J194+$K194)*IFERROR(INDEX(Shows!$G$4:$G$23,MATCH($B194,Shows!$A$4:$A$23,0)),0)+IFERROR(INDEX(Shows!$H$4:$H$23,MATCH($B194,Shows!$A$4:$A$23,0)),0),2))</f>
        <v/>
      </c>
      <c r="Q194" s="44">
        <f>IF($C194="","",$J194+$K194-$P194)</f>
        <v/>
      </c>
      <c r="R194" s="40" t="n"/>
      <c r="S194" s="40" t="n"/>
      <c r="T194" s="40" t="n"/>
    </row>
    <row r="195">
      <c r="A195" s="48" t="n"/>
      <c r="B195" s="34" t="n"/>
      <c r="C195" s="34" t="n"/>
      <c r="D195" s="15">
        <f>IF($C195="","",IFERROR(INDEX(Inventory!$B$4:$B$253,MATCH($C195,Inventory!$A$4:$A$253,0))&amp;" "&amp;INDEX(Inventory!$C$4:$C$253,MATCH($C195,Inventory!$A$4:$A$253,0)),"SKU not in Inventory"))</f>
        <v/>
      </c>
      <c r="E195" s="36" t="n"/>
      <c r="F195" s="35" t="n"/>
      <c r="G195" s="35" t="n"/>
      <c r="H195" s="49">
        <f>IF($C195="","",IFERROR(INDEX(Inventory!$H$4:$H$253,MATCH($C195,Inventory!$A$4:$A$253,0)),0))</f>
        <v/>
      </c>
      <c r="I195" s="34" t="n"/>
      <c r="J195" s="38">
        <f>IF($C195="","",MAX(0,$E195*$F195-$G195))</f>
        <v/>
      </c>
      <c r="K195" s="38">
        <f>IF(OR($C195="",$I195="No"),0,ROUND($J195*IFERROR(INDEX(Shows!$F$4:$F$23,MATCH($B195,Shows!$A$4:$A$23,0)),0),2))</f>
        <v/>
      </c>
      <c r="L195" s="38">
        <f>IF($C195="","",$E195*$H195)</f>
        <v/>
      </c>
      <c r="M195" s="38">
        <f>IF($C195="","",$J195-$L195-$P195)</f>
        <v/>
      </c>
      <c r="N195" s="34" t="n"/>
      <c r="O195" s="34" t="n"/>
      <c r="P195" s="38">
        <f>IF(OR($C195="",$N195&lt;&gt;"Card"),0,ROUND(($J195+$K195)*IFERROR(INDEX(Shows!$G$4:$G$23,MATCH($B195,Shows!$A$4:$A$23,0)),0)+IFERROR(INDEX(Shows!$H$4:$H$23,MATCH($B195,Shows!$A$4:$A$23,0)),0),2))</f>
        <v/>
      </c>
      <c r="Q195" s="38">
        <f>IF($C195="","",$J195+$K195-$P195)</f>
        <v/>
      </c>
      <c r="R195" s="34" t="n"/>
      <c r="S195" s="34" t="n"/>
      <c r="T195" s="34" t="n"/>
    </row>
    <row r="196">
      <c r="A196" s="46" t="n"/>
      <c r="B196" s="40" t="n"/>
      <c r="C196" s="40" t="n"/>
      <c r="D196" s="11">
        <f>IF($C196="","",IFERROR(INDEX(Inventory!$B$4:$B$253,MATCH($C196,Inventory!$A$4:$A$253,0))&amp;" "&amp;INDEX(Inventory!$C$4:$C$253,MATCH($C196,Inventory!$A$4:$A$253,0)),"SKU not in Inventory"))</f>
        <v/>
      </c>
      <c r="E196" s="42" t="n"/>
      <c r="F196" s="41" t="n"/>
      <c r="G196" s="41" t="n"/>
      <c r="H196" s="47">
        <f>IF($C196="","",IFERROR(INDEX(Inventory!$H$4:$H$253,MATCH($C196,Inventory!$A$4:$A$253,0)),0))</f>
        <v/>
      </c>
      <c r="I196" s="40" t="n"/>
      <c r="J196" s="44">
        <f>IF($C196="","",MAX(0,$E196*$F196-$G196))</f>
        <v/>
      </c>
      <c r="K196" s="44">
        <f>IF(OR($C196="",$I196="No"),0,ROUND($J196*IFERROR(INDEX(Shows!$F$4:$F$23,MATCH($B196,Shows!$A$4:$A$23,0)),0),2))</f>
        <v/>
      </c>
      <c r="L196" s="44">
        <f>IF($C196="","",$E196*$H196)</f>
        <v/>
      </c>
      <c r="M196" s="44">
        <f>IF($C196="","",$J196-$L196-$P196)</f>
        <v/>
      </c>
      <c r="N196" s="40" t="n"/>
      <c r="O196" s="40" t="n"/>
      <c r="P196" s="44">
        <f>IF(OR($C196="",$N196&lt;&gt;"Card"),0,ROUND(($J196+$K196)*IFERROR(INDEX(Shows!$G$4:$G$23,MATCH($B196,Shows!$A$4:$A$23,0)),0)+IFERROR(INDEX(Shows!$H$4:$H$23,MATCH($B196,Shows!$A$4:$A$23,0)),0),2))</f>
        <v/>
      </c>
      <c r="Q196" s="44">
        <f>IF($C196="","",$J196+$K196-$P196)</f>
        <v/>
      </c>
      <c r="R196" s="40" t="n"/>
      <c r="S196" s="40" t="n"/>
      <c r="T196" s="40" t="n"/>
    </row>
    <row r="197">
      <c r="A197" s="48" t="n"/>
      <c r="B197" s="34" t="n"/>
      <c r="C197" s="34" t="n"/>
      <c r="D197" s="15">
        <f>IF($C197="","",IFERROR(INDEX(Inventory!$B$4:$B$253,MATCH($C197,Inventory!$A$4:$A$253,0))&amp;" "&amp;INDEX(Inventory!$C$4:$C$253,MATCH($C197,Inventory!$A$4:$A$253,0)),"SKU not in Inventory"))</f>
        <v/>
      </c>
      <c r="E197" s="36" t="n"/>
      <c r="F197" s="35" t="n"/>
      <c r="G197" s="35" t="n"/>
      <c r="H197" s="49">
        <f>IF($C197="","",IFERROR(INDEX(Inventory!$H$4:$H$253,MATCH($C197,Inventory!$A$4:$A$253,0)),0))</f>
        <v/>
      </c>
      <c r="I197" s="34" t="n"/>
      <c r="J197" s="38">
        <f>IF($C197="","",MAX(0,$E197*$F197-$G197))</f>
        <v/>
      </c>
      <c r="K197" s="38">
        <f>IF(OR($C197="",$I197="No"),0,ROUND($J197*IFERROR(INDEX(Shows!$F$4:$F$23,MATCH($B197,Shows!$A$4:$A$23,0)),0),2))</f>
        <v/>
      </c>
      <c r="L197" s="38">
        <f>IF($C197="","",$E197*$H197)</f>
        <v/>
      </c>
      <c r="M197" s="38">
        <f>IF($C197="","",$J197-$L197-$P197)</f>
        <v/>
      </c>
      <c r="N197" s="34" t="n"/>
      <c r="O197" s="34" t="n"/>
      <c r="P197" s="38">
        <f>IF(OR($C197="",$N197&lt;&gt;"Card"),0,ROUND(($J197+$K197)*IFERROR(INDEX(Shows!$G$4:$G$23,MATCH($B197,Shows!$A$4:$A$23,0)),0)+IFERROR(INDEX(Shows!$H$4:$H$23,MATCH($B197,Shows!$A$4:$A$23,0)),0),2))</f>
        <v/>
      </c>
      <c r="Q197" s="38">
        <f>IF($C197="","",$J197+$K197-$P197)</f>
        <v/>
      </c>
      <c r="R197" s="34" t="n"/>
      <c r="S197" s="34" t="n"/>
      <c r="T197" s="34" t="n"/>
    </row>
    <row r="198">
      <c r="A198" s="46" t="n"/>
      <c r="B198" s="40" t="n"/>
      <c r="C198" s="40" t="n"/>
      <c r="D198" s="11">
        <f>IF($C198="","",IFERROR(INDEX(Inventory!$B$4:$B$253,MATCH($C198,Inventory!$A$4:$A$253,0))&amp;" "&amp;INDEX(Inventory!$C$4:$C$253,MATCH($C198,Inventory!$A$4:$A$253,0)),"SKU not in Inventory"))</f>
        <v/>
      </c>
      <c r="E198" s="42" t="n"/>
      <c r="F198" s="41" t="n"/>
      <c r="G198" s="41" t="n"/>
      <c r="H198" s="47">
        <f>IF($C198="","",IFERROR(INDEX(Inventory!$H$4:$H$253,MATCH($C198,Inventory!$A$4:$A$253,0)),0))</f>
        <v/>
      </c>
      <c r="I198" s="40" t="n"/>
      <c r="J198" s="44">
        <f>IF($C198="","",MAX(0,$E198*$F198-$G198))</f>
        <v/>
      </c>
      <c r="K198" s="44">
        <f>IF(OR($C198="",$I198="No"),0,ROUND($J198*IFERROR(INDEX(Shows!$F$4:$F$23,MATCH($B198,Shows!$A$4:$A$23,0)),0),2))</f>
        <v/>
      </c>
      <c r="L198" s="44">
        <f>IF($C198="","",$E198*$H198)</f>
        <v/>
      </c>
      <c r="M198" s="44">
        <f>IF($C198="","",$J198-$L198-$P198)</f>
        <v/>
      </c>
      <c r="N198" s="40" t="n"/>
      <c r="O198" s="40" t="n"/>
      <c r="P198" s="44">
        <f>IF(OR($C198="",$N198&lt;&gt;"Card"),0,ROUND(($J198+$K198)*IFERROR(INDEX(Shows!$G$4:$G$23,MATCH($B198,Shows!$A$4:$A$23,0)),0)+IFERROR(INDEX(Shows!$H$4:$H$23,MATCH($B198,Shows!$A$4:$A$23,0)),0),2))</f>
        <v/>
      </c>
      <c r="Q198" s="44">
        <f>IF($C198="","",$J198+$K198-$P198)</f>
        <v/>
      </c>
      <c r="R198" s="40" t="n"/>
      <c r="S198" s="40" t="n"/>
      <c r="T198" s="40" t="n"/>
    </row>
    <row r="199">
      <c r="A199" s="48" t="n"/>
      <c r="B199" s="34" t="n"/>
      <c r="C199" s="34" t="n"/>
      <c r="D199" s="15">
        <f>IF($C199="","",IFERROR(INDEX(Inventory!$B$4:$B$253,MATCH($C199,Inventory!$A$4:$A$253,0))&amp;" "&amp;INDEX(Inventory!$C$4:$C$253,MATCH($C199,Inventory!$A$4:$A$253,0)),"SKU not in Inventory"))</f>
        <v/>
      </c>
      <c r="E199" s="36" t="n"/>
      <c r="F199" s="35" t="n"/>
      <c r="G199" s="35" t="n"/>
      <c r="H199" s="49">
        <f>IF($C199="","",IFERROR(INDEX(Inventory!$H$4:$H$253,MATCH($C199,Inventory!$A$4:$A$253,0)),0))</f>
        <v/>
      </c>
      <c r="I199" s="34" t="n"/>
      <c r="J199" s="38">
        <f>IF($C199="","",MAX(0,$E199*$F199-$G199))</f>
        <v/>
      </c>
      <c r="K199" s="38">
        <f>IF(OR($C199="",$I199="No"),0,ROUND($J199*IFERROR(INDEX(Shows!$F$4:$F$23,MATCH($B199,Shows!$A$4:$A$23,0)),0),2))</f>
        <v/>
      </c>
      <c r="L199" s="38">
        <f>IF($C199="","",$E199*$H199)</f>
        <v/>
      </c>
      <c r="M199" s="38">
        <f>IF($C199="","",$J199-$L199-$P199)</f>
        <v/>
      </c>
      <c r="N199" s="34" t="n"/>
      <c r="O199" s="34" t="n"/>
      <c r="P199" s="38">
        <f>IF(OR($C199="",$N199&lt;&gt;"Card"),0,ROUND(($J199+$K199)*IFERROR(INDEX(Shows!$G$4:$G$23,MATCH($B199,Shows!$A$4:$A$23,0)),0)+IFERROR(INDEX(Shows!$H$4:$H$23,MATCH($B199,Shows!$A$4:$A$23,0)),0),2))</f>
        <v/>
      </c>
      <c r="Q199" s="38">
        <f>IF($C199="","",$J199+$K199-$P199)</f>
        <v/>
      </c>
      <c r="R199" s="34" t="n"/>
      <c r="S199" s="34" t="n"/>
      <c r="T199" s="34" t="n"/>
    </row>
    <row r="200">
      <c r="A200" s="46" t="n"/>
      <c r="B200" s="40" t="n"/>
      <c r="C200" s="40" t="n"/>
      <c r="D200" s="11">
        <f>IF($C200="","",IFERROR(INDEX(Inventory!$B$4:$B$253,MATCH($C200,Inventory!$A$4:$A$253,0))&amp;" "&amp;INDEX(Inventory!$C$4:$C$253,MATCH($C200,Inventory!$A$4:$A$253,0)),"SKU not in Inventory"))</f>
        <v/>
      </c>
      <c r="E200" s="42" t="n"/>
      <c r="F200" s="41" t="n"/>
      <c r="G200" s="41" t="n"/>
      <c r="H200" s="47">
        <f>IF($C200="","",IFERROR(INDEX(Inventory!$H$4:$H$253,MATCH($C200,Inventory!$A$4:$A$253,0)),0))</f>
        <v/>
      </c>
      <c r="I200" s="40" t="n"/>
      <c r="J200" s="44">
        <f>IF($C200="","",MAX(0,$E200*$F200-$G200))</f>
        <v/>
      </c>
      <c r="K200" s="44">
        <f>IF(OR($C200="",$I200="No"),0,ROUND($J200*IFERROR(INDEX(Shows!$F$4:$F$23,MATCH($B200,Shows!$A$4:$A$23,0)),0),2))</f>
        <v/>
      </c>
      <c r="L200" s="44">
        <f>IF($C200="","",$E200*$H200)</f>
        <v/>
      </c>
      <c r="M200" s="44">
        <f>IF($C200="","",$J200-$L200-$P200)</f>
        <v/>
      </c>
      <c r="N200" s="40" t="n"/>
      <c r="O200" s="40" t="n"/>
      <c r="P200" s="44">
        <f>IF(OR($C200="",$N200&lt;&gt;"Card"),0,ROUND(($J200+$K200)*IFERROR(INDEX(Shows!$G$4:$G$23,MATCH($B200,Shows!$A$4:$A$23,0)),0)+IFERROR(INDEX(Shows!$H$4:$H$23,MATCH($B200,Shows!$A$4:$A$23,0)),0),2))</f>
        <v/>
      </c>
      <c r="Q200" s="44">
        <f>IF($C200="","",$J200+$K200-$P200)</f>
        <v/>
      </c>
      <c r="R200" s="40" t="n"/>
      <c r="S200" s="40" t="n"/>
      <c r="T200" s="40" t="n"/>
    </row>
    <row r="201">
      <c r="A201" s="48" t="n"/>
      <c r="B201" s="34" t="n"/>
      <c r="C201" s="34" t="n"/>
      <c r="D201" s="15">
        <f>IF($C201="","",IFERROR(INDEX(Inventory!$B$4:$B$253,MATCH($C201,Inventory!$A$4:$A$253,0))&amp;" "&amp;INDEX(Inventory!$C$4:$C$253,MATCH($C201,Inventory!$A$4:$A$253,0)),"SKU not in Inventory"))</f>
        <v/>
      </c>
      <c r="E201" s="36" t="n"/>
      <c r="F201" s="35" t="n"/>
      <c r="G201" s="35" t="n"/>
      <c r="H201" s="49">
        <f>IF($C201="","",IFERROR(INDEX(Inventory!$H$4:$H$253,MATCH($C201,Inventory!$A$4:$A$253,0)),0))</f>
        <v/>
      </c>
      <c r="I201" s="34" t="n"/>
      <c r="J201" s="38">
        <f>IF($C201="","",MAX(0,$E201*$F201-$G201))</f>
        <v/>
      </c>
      <c r="K201" s="38">
        <f>IF(OR($C201="",$I201="No"),0,ROUND($J201*IFERROR(INDEX(Shows!$F$4:$F$23,MATCH($B201,Shows!$A$4:$A$23,0)),0),2))</f>
        <v/>
      </c>
      <c r="L201" s="38">
        <f>IF($C201="","",$E201*$H201)</f>
        <v/>
      </c>
      <c r="M201" s="38">
        <f>IF($C201="","",$J201-$L201-$P201)</f>
        <v/>
      </c>
      <c r="N201" s="34" t="n"/>
      <c r="O201" s="34" t="n"/>
      <c r="P201" s="38">
        <f>IF(OR($C201="",$N201&lt;&gt;"Card"),0,ROUND(($J201+$K201)*IFERROR(INDEX(Shows!$G$4:$G$23,MATCH($B201,Shows!$A$4:$A$23,0)),0)+IFERROR(INDEX(Shows!$H$4:$H$23,MATCH($B201,Shows!$A$4:$A$23,0)),0),2))</f>
        <v/>
      </c>
      <c r="Q201" s="38">
        <f>IF($C201="","",$J201+$K201-$P201)</f>
        <v/>
      </c>
      <c r="R201" s="34" t="n"/>
      <c r="S201" s="34" t="n"/>
      <c r="T201" s="34" t="n"/>
    </row>
    <row r="202">
      <c r="A202" s="46" t="n"/>
      <c r="B202" s="40" t="n"/>
      <c r="C202" s="40" t="n"/>
      <c r="D202" s="11">
        <f>IF($C202="","",IFERROR(INDEX(Inventory!$B$4:$B$253,MATCH($C202,Inventory!$A$4:$A$253,0))&amp;" "&amp;INDEX(Inventory!$C$4:$C$253,MATCH($C202,Inventory!$A$4:$A$253,0)),"SKU not in Inventory"))</f>
        <v/>
      </c>
      <c r="E202" s="42" t="n"/>
      <c r="F202" s="41" t="n"/>
      <c r="G202" s="41" t="n"/>
      <c r="H202" s="47">
        <f>IF($C202="","",IFERROR(INDEX(Inventory!$H$4:$H$253,MATCH($C202,Inventory!$A$4:$A$253,0)),0))</f>
        <v/>
      </c>
      <c r="I202" s="40" t="n"/>
      <c r="J202" s="44">
        <f>IF($C202="","",MAX(0,$E202*$F202-$G202))</f>
        <v/>
      </c>
      <c r="K202" s="44">
        <f>IF(OR($C202="",$I202="No"),0,ROUND($J202*IFERROR(INDEX(Shows!$F$4:$F$23,MATCH($B202,Shows!$A$4:$A$23,0)),0),2))</f>
        <v/>
      </c>
      <c r="L202" s="44">
        <f>IF($C202="","",$E202*$H202)</f>
        <v/>
      </c>
      <c r="M202" s="44">
        <f>IF($C202="","",$J202-$L202-$P202)</f>
        <v/>
      </c>
      <c r="N202" s="40" t="n"/>
      <c r="O202" s="40" t="n"/>
      <c r="P202" s="44">
        <f>IF(OR($C202="",$N202&lt;&gt;"Card"),0,ROUND(($J202+$K202)*IFERROR(INDEX(Shows!$G$4:$G$23,MATCH($B202,Shows!$A$4:$A$23,0)),0)+IFERROR(INDEX(Shows!$H$4:$H$23,MATCH($B202,Shows!$A$4:$A$23,0)),0),2))</f>
        <v/>
      </c>
      <c r="Q202" s="44">
        <f>IF($C202="","",$J202+$K202-$P202)</f>
        <v/>
      </c>
      <c r="R202" s="40" t="n"/>
      <c r="S202" s="40" t="n"/>
      <c r="T202" s="40" t="n"/>
    </row>
    <row r="203">
      <c r="A203" s="48" t="n"/>
      <c r="B203" s="34" t="n"/>
      <c r="C203" s="34" t="n"/>
      <c r="D203" s="15">
        <f>IF($C203="","",IFERROR(INDEX(Inventory!$B$4:$B$253,MATCH($C203,Inventory!$A$4:$A$253,0))&amp;" "&amp;INDEX(Inventory!$C$4:$C$253,MATCH($C203,Inventory!$A$4:$A$253,0)),"SKU not in Inventory"))</f>
        <v/>
      </c>
      <c r="E203" s="36" t="n"/>
      <c r="F203" s="35" t="n"/>
      <c r="G203" s="35" t="n"/>
      <c r="H203" s="49">
        <f>IF($C203="","",IFERROR(INDEX(Inventory!$H$4:$H$253,MATCH($C203,Inventory!$A$4:$A$253,0)),0))</f>
        <v/>
      </c>
      <c r="I203" s="34" t="n"/>
      <c r="J203" s="38">
        <f>IF($C203="","",MAX(0,$E203*$F203-$G203))</f>
        <v/>
      </c>
      <c r="K203" s="38">
        <f>IF(OR($C203="",$I203="No"),0,ROUND($J203*IFERROR(INDEX(Shows!$F$4:$F$23,MATCH($B203,Shows!$A$4:$A$23,0)),0),2))</f>
        <v/>
      </c>
      <c r="L203" s="38">
        <f>IF($C203="","",$E203*$H203)</f>
        <v/>
      </c>
      <c r="M203" s="38">
        <f>IF($C203="","",$J203-$L203-$P203)</f>
        <v/>
      </c>
      <c r="N203" s="34" t="n"/>
      <c r="O203" s="34" t="n"/>
      <c r="P203" s="38">
        <f>IF(OR($C203="",$N203&lt;&gt;"Card"),0,ROUND(($J203+$K203)*IFERROR(INDEX(Shows!$G$4:$G$23,MATCH($B203,Shows!$A$4:$A$23,0)),0)+IFERROR(INDEX(Shows!$H$4:$H$23,MATCH($B203,Shows!$A$4:$A$23,0)),0),2))</f>
        <v/>
      </c>
      <c r="Q203" s="38">
        <f>IF($C203="","",$J203+$K203-$P203)</f>
        <v/>
      </c>
      <c r="R203" s="34" t="n"/>
      <c r="S203" s="34" t="n"/>
      <c r="T203" s="34" t="n"/>
    </row>
    <row r="204">
      <c r="A204" s="46" t="n"/>
      <c r="B204" s="40" t="n"/>
      <c r="C204" s="40" t="n"/>
      <c r="D204" s="11">
        <f>IF($C204="","",IFERROR(INDEX(Inventory!$B$4:$B$253,MATCH($C204,Inventory!$A$4:$A$253,0))&amp;" "&amp;INDEX(Inventory!$C$4:$C$253,MATCH($C204,Inventory!$A$4:$A$253,0)),"SKU not in Inventory"))</f>
        <v/>
      </c>
      <c r="E204" s="42" t="n"/>
      <c r="F204" s="41" t="n"/>
      <c r="G204" s="41" t="n"/>
      <c r="H204" s="47">
        <f>IF($C204="","",IFERROR(INDEX(Inventory!$H$4:$H$253,MATCH($C204,Inventory!$A$4:$A$253,0)),0))</f>
        <v/>
      </c>
      <c r="I204" s="40" t="n"/>
      <c r="J204" s="44">
        <f>IF($C204="","",MAX(0,$E204*$F204-$G204))</f>
        <v/>
      </c>
      <c r="K204" s="44">
        <f>IF(OR($C204="",$I204="No"),0,ROUND($J204*IFERROR(INDEX(Shows!$F$4:$F$23,MATCH($B204,Shows!$A$4:$A$23,0)),0),2))</f>
        <v/>
      </c>
      <c r="L204" s="44">
        <f>IF($C204="","",$E204*$H204)</f>
        <v/>
      </c>
      <c r="M204" s="44">
        <f>IF($C204="","",$J204-$L204-$P204)</f>
        <v/>
      </c>
      <c r="N204" s="40" t="n"/>
      <c r="O204" s="40" t="n"/>
      <c r="P204" s="44">
        <f>IF(OR($C204="",$N204&lt;&gt;"Card"),0,ROUND(($J204+$K204)*IFERROR(INDEX(Shows!$G$4:$G$23,MATCH($B204,Shows!$A$4:$A$23,0)),0)+IFERROR(INDEX(Shows!$H$4:$H$23,MATCH($B204,Shows!$A$4:$A$23,0)),0),2))</f>
        <v/>
      </c>
      <c r="Q204" s="44">
        <f>IF($C204="","",$J204+$K204-$P204)</f>
        <v/>
      </c>
      <c r="R204" s="40" t="n"/>
      <c r="S204" s="40" t="n"/>
      <c r="T204" s="40" t="n"/>
    </row>
    <row r="205">
      <c r="A205" s="48" t="n"/>
      <c r="B205" s="34" t="n"/>
      <c r="C205" s="34" t="n"/>
      <c r="D205" s="15">
        <f>IF($C205="","",IFERROR(INDEX(Inventory!$B$4:$B$253,MATCH($C205,Inventory!$A$4:$A$253,0))&amp;" "&amp;INDEX(Inventory!$C$4:$C$253,MATCH($C205,Inventory!$A$4:$A$253,0)),"SKU not in Inventory"))</f>
        <v/>
      </c>
      <c r="E205" s="36" t="n"/>
      <c r="F205" s="35" t="n"/>
      <c r="G205" s="35" t="n"/>
      <c r="H205" s="49">
        <f>IF($C205="","",IFERROR(INDEX(Inventory!$H$4:$H$253,MATCH($C205,Inventory!$A$4:$A$253,0)),0))</f>
        <v/>
      </c>
      <c r="I205" s="34" t="n"/>
      <c r="J205" s="38">
        <f>IF($C205="","",MAX(0,$E205*$F205-$G205))</f>
        <v/>
      </c>
      <c r="K205" s="38">
        <f>IF(OR($C205="",$I205="No"),0,ROUND($J205*IFERROR(INDEX(Shows!$F$4:$F$23,MATCH($B205,Shows!$A$4:$A$23,0)),0),2))</f>
        <v/>
      </c>
      <c r="L205" s="38">
        <f>IF($C205="","",$E205*$H205)</f>
        <v/>
      </c>
      <c r="M205" s="38">
        <f>IF($C205="","",$J205-$L205-$P205)</f>
        <v/>
      </c>
      <c r="N205" s="34" t="n"/>
      <c r="O205" s="34" t="n"/>
      <c r="P205" s="38">
        <f>IF(OR($C205="",$N205&lt;&gt;"Card"),0,ROUND(($J205+$K205)*IFERROR(INDEX(Shows!$G$4:$G$23,MATCH($B205,Shows!$A$4:$A$23,0)),0)+IFERROR(INDEX(Shows!$H$4:$H$23,MATCH($B205,Shows!$A$4:$A$23,0)),0),2))</f>
        <v/>
      </c>
      <c r="Q205" s="38">
        <f>IF($C205="","",$J205+$K205-$P205)</f>
        <v/>
      </c>
      <c r="R205" s="34" t="n"/>
      <c r="S205" s="34" t="n"/>
      <c r="T205" s="34" t="n"/>
    </row>
    <row r="206">
      <c r="A206" s="46" t="n"/>
      <c r="B206" s="40" t="n"/>
      <c r="C206" s="40" t="n"/>
      <c r="D206" s="11">
        <f>IF($C206="","",IFERROR(INDEX(Inventory!$B$4:$B$253,MATCH($C206,Inventory!$A$4:$A$253,0))&amp;" "&amp;INDEX(Inventory!$C$4:$C$253,MATCH($C206,Inventory!$A$4:$A$253,0)),"SKU not in Inventory"))</f>
        <v/>
      </c>
      <c r="E206" s="42" t="n"/>
      <c r="F206" s="41" t="n"/>
      <c r="G206" s="41" t="n"/>
      <c r="H206" s="47">
        <f>IF($C206="","",IFERROR(INDEX(Inventory!$H$4:$H$253,MATCH($C206,Inventory!$A$4:$A$253,0)),0))</f>
        <v/>
      </c>
      <c r="I206" s="40" t="n"/>
      <c r="J206" s="44">
        <f>IF($C206="","",MAX(0,$E206*$F206-$G206))</f>
        <v/>
      </c>
      <c r="K206" s="44">
        <f>IF(OR($C206="",$I206="No"),0,ROUND($J206*IFERROR(INDEX(Shows!$F$4:$F$23,MATCH($B206,Shows!$A$4:$A$23,0)),0),2))</f>
        <v/>
      </c>
      <c r="L206" s="44">
        <f>IF($C206="","",$E206*$H206)</f>
        <v/>
      </c>
      <c r="M206" s="44">
        <f>IF($C206="","",$J206-$L206-$P206)</f>
        <v/>
      </c>
      <c r="N206" s="40" t="n"/>
      <c r="O206" s="40" t="n"/>
      <c r="P206" s="44">
        <f>IF(OR($C206="",$N206&lt;&gt;"Card"),0,ROUND(($J206+$K206)*IFERROR(INDEX(Shows!$G$4:$G$23,MATCH($B206,Shows!$A$4:$A$23,0)),0)+IFERROR(INDEX(Shows!$H$4:$H$23,MATCH($B206,Shows!$A$4:$A$23,0)),0),2))</f>
        <v/>
      </c>
      <c r="Q206" s="44">
        <f>IF($C206="","",$J206+$K206-$P206)</f>
        <v/>
      </c>
      <c r="R206" s="40" t="n"/>
      <c r="S206" s="40" t="n"/>
      <c r="T206" s="40" t="n"/>
    </row>
    <row r="207">
      <c r="A207" s="48" t="n"/>
      <c r="B207" s="34" t="n"/>
      <c r="C207" s="34" t="n"/>
      <c r="D207" s="15">
        <f>IF($C207="","",IFERROR(INDEX(Inventory!$B$4:$B$253,MATCH($C207,Inventory!$A$4:$A$253,0))&amp;" "&amp;INDEX(Inventory!$C$4:$C$253,MATCH($C207,Inventory!$A$4:$A$253,0)),"SKU not in Inventory"))</f>
        <v/>
      </c>
      <c r="E207" s="36" t="n"/>
      <c r="F207" s="35" t="n"/>
      <c r="G207" s="35" t="n"/>
      <c r="H207" s="49">
        <f>IF($C207="","",IFERROR(INDEX(Inventory!$H$4:$H$253,MATCH($C207,Inventory!$A$4:$A$253,0)),0))</f>
        <v/>
      </c>
      <c r="I207" s="34" t="n"/>
      <c r="J207" s="38">
        <f>IF($C207="","",MAX(0,$E207*$F207-$G207))</f>
        <v/>
      </c>
      <c r="K207" s="38">
        <f>IF(OR($C207="",$I207="No"),0,ROUND($J207*IFERROR(INDEX(Shows!$F$4:$F$23,MATCH($B207,Shows!$A$4:$A$23,0)),0),2))</f>
        <v/>
      </c>
      <c r="L207" s="38">
        <f>IF($C207="","",$E207*$H207)</f>
        <v/>
      </c>
      <c r="M207" s="38">
        <f>IF($C207="","",$J207-$L207-$P207)</f>
        <v/>
      </c>
      <c r="N207" s="34" t="n"/>
      <c r="O207" s="34" t="n"/>
      <c r="P207" s="38">
        <f>IF(OR($C207="",$N207&lt;&gt;"Card"),0,ROUND(($J207+$K207)*IFERROR(INDEX(Shows!$G$4:$G$23,MATCH($B207,Shows!$A$4:$A$23,0)),0)+IFERROR(INDEX(Shows!$H$4:$H$23,MATCH($B207,Shows!$A$4:$A$23,0)),0),2))</f>
        <v/>
      </c>
      <c r="Q207" s="38">
        <f>IF($C207="","",$J207+$K207-$P207)</f>
        <v/>
      </c>
      <c r="R207" s="34" t="n"/>
      <c r="S207" s="34" t="n"/>
      <c r="T207" s="34" t="n"/>
    </row>
    <row r="208">
      <c r="A208" s="46" t="n"/>
      <c r="B208" s="40" t="n"/>
      <c r="C208" s="40" t="n"/>
      <c r="D208" s="11">
        <f>IF($C208="","",IFERROR(INDEX(Inventory!$B$4:$B$253,MATCH($C208,Inventory!$A$4:$A$253,0))&amp;" "&amp;INDEX(Inventory!$C$4:$C$253,MATCH($C208,Inventory!$A$4:$A$253,0)),"SKU not in Inventory"))</f>
        <v/>
      </c>
      <c r="E208" s="42" t="n"/>
      <c r="F208" s="41" t="n"/>
      <c r="G208" s="41" t="n"/>
      <c r="H208" s="47">
        <f>IF($C208="","",IFERROR(INDEX(Inventory!$H$4:$H$253,MATCH($C208,Inventory!$A$4:$A$253,0)),0))</f>
        <v/>
      </c>
      <c r="I208" s="40" t="n"/>
      <c r="J208" s="44">
        <f>IF($C208="","",MAX(0,$E208*$F208-$G208))</f>
        <v/>
      </c>
      <c r="K208" s="44">
        <f>IF(OR($C208="",$I208="No"),0,ROUND($J208*IFERROR(INDEX(Shows!$F$4:$F$23,MATCH($B208,Shows!$A$4:$A$23,0)),0),2))</f>
        <v/>
      </c>
      <c r="L208" s="44">
        <f>IF($C208="","",$E208*$H208)</f>
        <v/>
      </c>
      <c r="M208" s="44">
        <f>IF($C208="","",$J208-$L208-$P208)</f>
        <v/>
      </c>
      <c r="N208" s="40" t="n"/>
      <c r="O208" s="40" t="n"/>
      <c r="P208" s="44">
        <f>IF(OR($C208="",$N208&lt;&gt;"Card"),0,ROUND(($J208+$K208)*IFERROR(INDEX(Shows!$G$4:$G$23,MATCH($B208,Shows!$A$4:$A$23,0)),0)+IFERROR(INDEX(Shows!$H$4:$H$23,MATCH($B208,Shows!$A$4:$A$23,0)),0),2))</f>
        <v/>
      </c>
      <c r="Q208" s="44">
        <f>IF($C208="","",$J208+$K208-$P208)</f>
        <v/>
      </c>
      <c r="R208" s="40" t="n"/>
      <c r="S208" s="40" t="n"/>
      <c r="T208" s="40" t="n"/>
    </row>
    <row r="209">
      <c r="A209" s="48" t="n"/>
      <c r="B209" s="34" t="n"/>
      <c r="C209" s="34" t="n"/>
      <c r="D209" s="15">
        <f>IF($C209="","",IFERROR(INDEX(Inventory!$B$4:$B$253,MATCH($C209,Inventory!$A$4:$A$253,0))&amp;" "&amp;INDEX(Inventory!$C$4:$C$253,MATCH($C209,Inventory!$A$4:$A$253,0)),"SKU not in Inventory"))</f>
        <v/>
      </c>
      <c r="E209" s="36" t="n"/>
      <c r="F209" s="35" t="n"/>
      <c r="G209" s="35" t="n"/>
      <c r="H209" s="49">
        <f>IF($C209="","",IFERROR(INDEX(Inventory!$H$4:$H$253,MATCH($C209,Inventory!$A$4:$A$253,0)),0))</f>
        <v/>
      </c>
      <c r="I209" s="34" t="n"/>
      <c r="J209" s="38">
        <f>IF($C209="","",MAX(0,$E209*$F209-$G209))</f>
        <v/>
      </c>
      <c r="K209" s="38">
        <f>IF(OR($C209="",$I209="No"),0,ROUND($J209*IFERROR(INDEX(Shows!$F$4:$F$23,MATCH($B209,Shows!$A$4:$A$23,0)),0),2))</f>
        <v/>
      </c>
      <c r="L209" s="38">
        <f>IF($C209="","",$E209*$H209)</f>
        <v/>
      </c>
      <c r="M209" s="38">
        <f>IF($C209="","",$J209-$L209-$P209)</f>
        <v/>
      </c>
      <c r="N209" s="34" t="n"/>
      <c r="O209" s="34" t="n"/>
      <c r="P209" s="38">
        <f>IF(OR($C209="",$N209&lt;&gt;"Card"),0,ROUND(($J209+$K209)*IFERROR(INDEX(Shows!$G$4:$G$23,MATCH($B209,Shows!$A$4:$A$23,0)),0)+IFERROR(INDEX(Shows!$H$4:$H$23,MATCH($B209,Shows!$A$4:$A$23,0)),0),2))</f>
        <v/>
      </c>
      <c r="Q209" s="38">
        <f>IF($C209="","",$J209+$K209-$P209)</f>
        <v/>
      </c>
      <c r="R209" s="34" t="n"/>
      <c r="S209" s="34" t="n"/>
      <c r="T209" s="34" t="n"/>
    </row>
    <row r="210">
      <c r="A210" s="46" t="n"/>
      <c r="B210" s="40" t="n"/>
      <c r="C210" s="40" t="n"/>
      <c r="D210" s="11">
        <f>IF($C210="","",IFERROR(INDEX(Inventory!$B$4:$B$253,MATCH($C210,Inventory!$A$4:$A$253,0))&amp;" "&amp;INDEX(Inventory!$C$4:$C$253,MATCH($C210,Inventory!$A$4:$A$253,0)),"SKU not in Inventory"))</f>
        <v/>
      </c>
      <c r="E210" s="42" t="n"/>
      <c r="F210" s="41" t="n"/>
      <c r="G210" s="41" t="n"/>
      <c r="H210" s="47">
        <f>IF($C210="","",IFERROR(INDEX(Inventory!$H$4:$H$253,MATCH($C210,Inventory!$A$4:$A$253,0)),0))</f>
        <v/>
      </c>
      <c r="I210" s="40" t="n"/>
      <c r="J210" s="44">
        <f>IF($C210="","",MAX(0,$E210*$F210-$G210))</f>
        <v/>
      </c>
      <c r="K210" s="44">
        <f>IF(OR($C210="",$I210="No"),0,ROUND($J210*IFERROR(INDEX(Shows!$F$4:$F$23,MATCH($B210,Shows!$A$4:$A$23,0)),0),2))</f>
        <v/>
      </c>
      <c r="L210" s="44">
        <f>IF($C210="","",$E210*$H210)</f>
        <v/>
      </c>
      <c r="M210" s="44">
        <f>IF($C210="","",$J210-$L210-$P210)</f>
        <v/>
      </c>
      <c r="N210" s="40" t="n"/>
      <c r="O210" s="40" t="n"/>
      <c r="P210" s="44">
        <f>IF(OR($C210="",$N210&lt;&gt;"Card"),0,ROUND(($J210+$K210)*IFERROR(INDEX(Shows!$G$4:$G$23,MATCH($B210,Shows!$A$4:$A$23,0)),0)+IFERROR(INDEX(Shows!$H$4:$H$23,MATCH($B210,Shows!$A$4:$A$23,0)),0),2))</f>
        <v/>
      </c>
      <c r="Q210" s="44">
        <f>IF($C210="","",$J210+$K210-$P210)</f>
        <v/>
      </c>
      <c r="R210" s="40" t="n"/>
      <c r="S210" s="40" t="n"/>
      <c r="T210" s="40" t="n"/>
    </row>
    <row r="211">
      <c r="A211" s="48" t="n"/>
      <c r="B211" s="34" t="n"/>
      <c r="C211" s="34" t="n"/>
      <c r="D211" s="15">
        <f>IF($C211="","",IFERROR(INDEX(Inventory!$B$4:$B$253,MATCH($C211,Inventory!$A$4:$A$253,0))&amp;" "&amp;INDEX(Inventory!$C$4:$C$253,MATCH($C211,Inventory!$A$4:$A$253,0)),"SKU not in Inventory"))</f>
        <v/>
      </c>
      <c r="E211" s="36" t="n"/>
      <c r="F211" s="35" t="n"/>
      <c r="G211" s="35" t="n"/>
      <c r="H211" s="49">
        <f>IF($C211="","",IFERROR(INDEX(Inventory!$H$4:$H$253,MATCH($C211,Inventory!$A$4:$A$253,0)),0))</f>
        <v/>
      </c>
      <c r="I211" s="34" t="n"/>
      <c r="J211" s="38">
        <f>IF($C211="","",MAX(0,$E211*$F211-$G211))</f>
        <v/>
      </c>
      <c r="K211" s="38">
        <f>IF(OR($C211="",$I211="No"),0,ROUND($J211*IFERROR(INDEX(Shows!$F$4:$F$23,MATCH($B211,Shows!$A$4:$A$23,0)),0),2))</f>
        <v/>
      </c>
      <c r="L211" s="38">
        <f>IF($C211="","",$E211*$H211)</f>
        <v/>
      </c>
      <c r="M211" s="38">
        <f>IF($C211="","",$J211-$L211-$P211)</f>
        <v/>
      </c>
      <c r="N211" s="34" t="n"/>
      <c r="O211" s="34" t="n"/>
      <c r="P211" s="38">
        <f>IF(OR($C211="",$N211&lt;&gt;"Card"),0,ROUND(($J211+$K211)*IFERROR(INDEX(Shows!$G$4:$G$23,MATCH($B211,Shows!$A$4:$A$23,0)),0)+IFERROR(INDEX(Shows!$H$4:$H$23,MATCH($B211,Shows!$A$4:$A$23,0)),0),2))</f>
        <v/>
      </c>
      <c r="Q211" s="38">
        <f>IF($C211="","",$J211+$K211-$P211)</f>
        <v/>
      </c>
      <c r="R211" s="34" t="n"/>
      <c r="S211" s="34" t="n"/>
      <c r="T211" s="34" t="n"/>
    </row>
    <row r="212">
      <c r="A212" s="46" t="n"/>
      <c r="B212" s="40" t="n"/>
      <c r="C212" s="40" t="n"/>
      <c r="D212" s="11">
        <f>IF($C212="","",IFERROR(INDEX(Inventory!$B$4:$B$253,MATCH($C212,Inventory!$A$4:$A$253,0))&amp;" "&amp;INDEX(Inventory!$C$4:$C$253,MATCH($C212,Inventory!$A$4:$A$253,0)),"SKU not in Inventory"))</f>
        <v/>
      </c>
      <c r="E212" s="42" t="n"/>
      <c r="F212" s="41" t="n"/>
      <c r="G212" s="41" t="n"/>
      <c r="H212" s="47">
        <f>IF($C212="","",IFERROR(INDEX(Inventory!$H$4:$H$253,MATCH($C212,Inventory!$A$4:$A$253,0)),0))</f>
        <v/>
      </c>
      <c r="I212" s="40" t="n"/>
      <c r="J212" s="44">
        <f>IF($C212="","",MAX(0,$E212*$F212-$G212))</f>
        <v/>
      </c>
      <c r="K212" s="44">
        <f>IF(OR($C212="",$I212="No"),0,ROUND($J212*IFERROR(INDEX(Shows!$F$4:$F$23,MATCH($B212,Shows!$A$4:$A$23,0)),0),2))</f>
        <v/>
      </c>
      <c r="L212" s="44">
        <f>IF($C212="","",$E212*$H212)</f>
        <v/>
      </c>
      <c r="M212" s="44">
        <f>IF($C212="","",$J212-$L212-$P212)</f>
        <v/>
      </c>
      <c r="N212" s="40" t="n"/>
      <c r="O212" s="40" t="n"/>
      <c r="P212" s="44">
        <f>IF(OR($C212="",$N212&lt;&gt;"Card"),0,ROUND(($J212+$K212)*IFERROR(INDEX(Shows!$G$4:$G$23,MATCH($B212,Shows!$A$4:$A$23,0)),0)+IFERROR(INDEX(Shows!$H$4:$H$23,MATCH($B212,Shows!$A$4:$A$23,0)),0),2))</f>
        <v/>
      </c>
      <c r="Q212" s="44">
        <f>IF($C212="","",$J212+$K212-$P212)</f>
        <v/>
      </c>
      <c r="R212" s="40" t="n"/>
      <c r="S212" s="40" t="n"/>
      <c r="T212" s="40" t="n"/>
    </row>
    <row r="213">
      <c r="A213" s="48" t="n"/>
      <c r="B213" s="34" t="n"/>
      <c r="C213" s="34" t="n"/>
      <c r="D213" s="15">
        <f>IF($C213="","",IFERROR(INDEX(Inventory!$B$4:$B$253,MATCH($C213,Inventory!$A$4:$A$253,0))&amp;" "&amp;INDEX(Inventory!$C$4:$C$253,MATCH($C213,Inventory!$A$4:$A$253,0)),"SKU not in Inventory"))</f>
        <v/>
      </c>
      <c r="E213" s="36" t="n"/>
      <c r="F213" s="35" t="n"/>
      <c r="G213" s="35" t="n"/>
      <c r="H213" s="49">
        <f>IF($C213="","",IFERROR(INDEX(Inventory!$H$4:$H$253,MATCH($C213,Inventory!$A$4:$A$253,0)),0))</f>
        <v/>
      </c>
      <c r="I213" s="34" t="n"/>
      <c r="J213" s="38">
        <f>IF($C213="","",MAX(0,$E213*$F213-$G213))</f>
        <v/>
      </c>
      <c r="K213" s="38">
        <f>IF(OR($C213="",$I213="No"),0,ROUND($J213*IFERROR(INDEX(Shows!$F$4:$F$23,MATCH($B213,Shows!$A$4:$A$23,0)),0),2))</f>
        <v/>
      </c>
      <c r="L213" s="38">
        <f>IF($C213="","",$E213*$H213)</f>
        <v/>
      </c>
      <c r="M213" s="38">
        <f>IF($C213="","",$J213-$L213-$P213)</f>
        <v/>
      </c>
      <c r="N213" s="34" t="n"/>
      <c r="O213" s="34" t="n"/>
      <c r="P213" s="38">
        <f>IF(OR($C213="",$N213&lt;&gt;"Card"),0,ROUND(($J213+$K213)*IFERROR(INDEX(Shows!$G$4:$G$23,MATCH($B213,Shows!$A$4:$A$23,0)),0)+IFERROR(INDEX(Shows!$H$4:$H$23,MATCH($B213,Shows!$A$4:$A$23,0)),0),2))</f>
        <v/>
      </c>
      <c r="Q213" s="38">
        <f>IF($C213="","",$J213+$K213-$P213)</f>
        <v/>
      </c>
      <c r="R213" s="34" t="n"/>
      <c r="S213" s="34" t="n"/>
      <c r="T213" s="34" t="n"/>
    </row>
    <row r="214">
      <c r="A214" s="46" t="n"/>
      <c r="B214" s="40" t="n"/>
      <c r="C214" s="40" t="n"/>
      <c r="D214" s="11">
        <f>IF($C214="","",IFERROR(INDEX(Inventory!$B$4:$B$253,MATCH($C214,Inventory!$A$4:$A$253,0))&amp;" "&amp;INDEX(Inventory!$C$4:$C$253,MATCH($C214,Inventory!$A$4:$A$253,0)),"SKU not in Inventory"))</f>
        <v/>
      </c>
      <c r="E214" s="42" t="n"/>
      <c r="F214" s="41" t="n"/>
      <c r="G214" s="41" t="n"/>
      <c r="H214" s="47">
        <f>IF($C214="","",IFERROR(INDEX(Inventory!$H$4:$H$253,MATCH($C214,Inventory!$A$4:$A$253,0)),0))</f>
        <v/>
      </c>
      <c r="I214" s="40" t="n"/>
      <c r="J214" s="44">
        <f>IF($C214="","",MAX(0,$E214*$F214-$G214))</f>
        <v/>
      </c>
      <c r="K214" s="44">
        <f>IF(OR($C214="",$I214="No"),0,ROUND($J214*IFERROR(INDEX(Shows!$F$4:$F$23,MATCH($B214,Shows!$A$4:$A$23,0)),0),2))</f>
        <v/>
      </c>
      <c r="L214" s="44">
        <f>IF($C214="","",$E214*$H214)</f>
        <v/>
      </c>
      <c r="M214" s="44">
        <f>IF($C214="","",$J214-$L214-$P214)</f>
        <v/>
      </c>
      <c r="N214" s="40" t="n"/>
      <c r="O214" s="40" t="n"/>
      <c r="P214" s="44">
        <f>IF(OR($C214="",$N214&lt;&gt;"Card"),0,ROUND(($J214+$K214)*IFERROR(INDEX(Shows!$G$4:$G$23,MATCH($B214,Shows!$A$4:$A$23,0)),0)+IFERROR(INDEX(Shows!$H$4:$H$23,MATCH($B214,Shows!$A$4:$A$23,0)),0),2))</f>
        <v/>
      </c>
      <c r="Q214" s="44">
        <f>IF($C214="","",$J214+$K214-$P214)</f>
        <v/>
      </c>
      <c r="R214" s="40" t="n"/>
      <c r="S214" s="40" t="n"/>
      <c r="T214" s="40" t="n"/>
    </row>
    <row r="215">
      <c r="A215" s="48" t="n"/>
      <c r="B215" s="34" t="n"/>
      <c r="C215" s="34" t="n"/>
      <c r="D215" s="15">
        <f>IF($C215="","",IFERROR(INDEX(Inventory!$B$4:$B$253,MATCH($C215,Inventory!$A$4:$A$253,0))&amp;" "&amp;INDEX(Inventory!$C$4:$C$253,MATCH($C215,Inventory!$A$4:$A$253,0)),"SKU not in Inventory"))</f>
        <v/>
      </c>
      <c r="E215" s="36" t="n"/>
      <c r="F215" s="35" t="n"/>
      <c r="G215" s="35" t="n"/>
      <c r="H215" s="49">
        <f>IF($C215="","",IFERROR(INDEX(Inventory!$H$4:$H$253,MATCH($C215,Inventory!$A$4:$A$253,0)),0))</f>
        <v/>
      </c>
      <c r="I215" s="34" t="n"/>
      <c r="J215" s="38">
        <f>IF($C215="","",MAX(0,$E215*$F215-$G215))</f>
        <v/>
      </c>
      <c r="K215" s="38">
        <f>IF(OR($C215="",$I215="No"),0,ROUND($J215*IFERROR(INDEX(Shows!$F$4:$F$23,MATCH($B215,Shows!$A$4:$A$23,0)),0),2))</f>
        <v/>
      </c>
      <c r="L215" s="38">
        <f>IF($C215="","",$E215*$H215)</f>
        <v/>
      </c>
      <c r="M215" s="38">
        <f>IF($C215="","",$J215-$L215-$P215)</f>
        <v/>
      </c>
      <c r="N215" s="34" t="n"/>
      <c r="O215" s="34" t="n"/>
      <c r="P215" s="38">
        <f>IF(OR($C215="",$N215&lt;&gt;"Card"),0,ROUND(($J215+$K215)*IFERROR(INDEX(Shows!$G$4:$G$23,MATCH($B215,Shows!$A$4:$A$23,0)),0)+IFERROR(INDEX(Shows!$H$4:$H$23,MATCH($B215,Shows!$A$4:$A$23,0)),0),2))</f>
        <v/>
      </c>
      <c r="Q215" s="38">
        <f>IF($C215="","",$J215+$K215-$P215)</f>
        <v/>
      </c>
      <c r="R215" s="34" t="n"/>
      <c r="S215" s="34" t="n"/>
      <c r="T215" s="34" t="n"/>
    </row>
    <row r="216">
      <c r="A216" s="46" t="n"/>
      <c r="B216" s="40" t="n"/>
      <c r="C216" s="40" t="n"/>
      <c r="D216" s="11">
        <f>IF($C216="","",IFERROR(INDEX(Inventory!$B$4:$B$253,MATCH($C216,Inventory!$A$4:$A$253,0))&amp;" "&amp;INDEX(Inventory!$C$4:$C$253,MATCH($C216,Inventory!$A$4:$A$253,0)),"SKU not in Inventory"))</f>
        <v/>
      </c>
      <c r="E216" s="42" t="n"/>
      <c r="F216" s="41" t="n"/>
      <c r="G216" s="41" t="n"/>
      <c r="H216" s="47">
        <f>IF($C216="","",IFERROR(INDEX(Inventory!$H$4:$H$253,MATCH($C216,Inventory!$A$4:$A$253,0)),0))</f>
        <v/>
      </c>
      <c r="I216" s="40" t="n"/>
      <c r="J216" s="44">
        <f>IF($C216="","",MAX(0,$E216*$F216-$G216))</f>
        <v/>
      </c>
      <c r="K216" s="44">
        <f>IF(OR($C216="",$I216="No"),0,ROUND($J216*IFERROR(INDEX(Shows!$F$4:$F$23,MATCH($B216,Shows!$A$4:$A$23,0)),0),2))</f>
        <v/>
      </c>
      <c r="L216" s="44">
        <f>IF($C216="","",$E216*$H216)</f>
        <v/>
      </c>
      <c r="M216" s="44">
        <f>IF($C216="","",$J216-$L216-$P216)</f>
        <v/>
      </c>
      <c r="N216" s="40" t="n"/>
      <c r="O216" s="40" t="n"/>
      <c r="P216" s="44">
        <f>IF(OR($C216="",$N216&lt;&gt;"Card"),0,ROUND(($J216+$K216)*IFERROR(INDEX(Shows!$G$4:$G$23,MATCH($B216,Shows!$A$4:$A$23,0)),0)+IFERROR(INDEX(Shows!$H$4:$H$23,MATCH($B216,Shows!$A$4:$A$23,0)),0),2))</f>
        <v/>
      </c>
      <c r="Q216" s="44">
        <f>IF($C216="","",$J216+$K216-$P216)</f>
        <v/>
      </c>
      <c r="R216" s="40" t="n"/>
      <c r="S216" s="40" t="n"/>
      <c r="T216" s="40" t="n"/>
    </row>
    <row r="217">
      <c r="A217" s="48" t="n"/>
      <c r="B217" s="34" t="n"/>
      <c r="C217" s="34" t="n"/>
      <c r="D217" s="15">
        <f>IF($C217="","",IFERROR(INDEX(Inventory!$B$4:$B$253,MATCH($C217,Inventory!$A$4:$A$253,0))&amp;" "&amp;INDEX(Inventory!$C$4:$C$253,MATCH($C217,Inventory!$A$4:$A$253,0)),"SKU not in Inventory"))</f>
        <v/>
      </c>
      <c r="E217" s="36" t="n"/>
      <c r="F217" s="35" t="n"/>
      <c r="G217" s="35" t="n"/>
      <c r="H217" s="49">
        <f>IF($C217="","",IFERROR(INDEX(Inventory!$H$4:$H$253,MATCH($C217,Inventory!$A$4:$A$253,0)),0))</f>
        <v/>
      </c>
      <c r="I217" s="34" t="n"/>
      <c r="J217" s="38">
        <f>IF($C217="","",MAX(0,$E217*$F217-$G217))</f>
        <v/>
      </c>
      <c r="K217" s="38">
        <f>IF(OR($C217="",$I217="No"),0,ROUND($J217*IFERROR(INDEX(Shows!$F$4:$F$23,MATCH($B217,Shows!$A$4:$A$23,0)),0),2))</f>
        <v/>
      </c>
      <c r="L217" s="38">
        <f>IF($C217="","",$E217*$H217)</f>
        <v/>
      </c>
      <c r="M217" s="38">
        <f>IF($C217="","",$J217-$L217-$P217)</f>
        <v/>
      </c>
      <c r="N217" s="34" t="n"/>
      <c r="O217" s="34" t="n"/>
      <c r="P217" s="38">
        <f>IF(OR($C217="",$N217&lt;&gt;"Card"),0,ROUND(($J217+$K217)*IFERROR(INDEX(Shows!$G$4:$G$23,MATCH($B217,Shows!$A$4:$A$23,0)),0)+IFERROR(INDEX(Shows!$H$4:$H$23,MATCH($B217,Shows!$A$4:$A$23,0)),0),2))</f>
        <v/>
      </c>
      <c r="Q217" s="38">
        <f>IF($C217="","",$J217+$K217-$P217)</f>
        <v/>
      </c>
      <c r="R217" s="34" t="n"/>
      <c r="S217" s="34" t="n"/>
      <c r="T217" s="34" t="n"/>
    </row>
    <row r="218">
      <c r="A218" s="46" t="n"/>
      <c r="B218" s="40" t="n"/>
      <c r="C218" s="40" t="n"/>
      <c r="D218" s="11">
        <f>IF($C218="","",IFERROR(INDEX(Inventory!$B$4:$B$253,MATCH($C218,Inventory!$A$4:$A$253,0))&amp;" "&amp;INDEX(Inventory!$C$4:$C$253,MATCH($C218,Inventory!$A$4:$A$253,0)),"SKU not in Inventory"))</f>
        <v/>
      </c>
      <c r="E218" s="42" t="n"/>
      <c r="F218" s="41" t="n"/>
      <c r="G218" s="41" t="n"/>
      <c r="H218" s="47">
        <f>IF($C218="","",IFERROR(INDEX(Inventory!$H$4:$H$253,MATCH($C218,Inventory!$A$4:$A$253,0)),0))</f>
        <v/>
      </c>
      <c r="I218" s="40" t="n"/>
      <c r="J218" s="44">
        <f>IF($C218="","",MAX(0,$E218*$F218-$G218))</f>
        <v/>
      </c>
      <c r="K218" s="44">
        <f>IF(OR($C218="",$I218="No"),0,ROUND($J218*IFERROR(INDEX(Shows!$F$4:$F$23,MATCH($B218,Shows!$A$4:$A$23,0)),0),2))</f>
        <v/>
      </c>
      <c r="L218" s="44">
        <f>IF($C218="","",$E218*$H218)</f>
        <v/>
      </c>
      <c r="M218" s="44">
        <f>IF($C218="","",$J218-$L218-$P218)</f>
        <v/>
      </c>
      <c r="N218" s="40" t="n"/>
      <c r="O218" s="40" t="n"/>
      <c r="P218" s="44">
        <f>IF(OR($C218="",$N218&lt;&gt;"Card"),0,ROUND(($J218+$K218)*IFERROR(INDEX(Shows!$G$4:$G$23,MATCH($B218,Shows!$A$4:$A$23,0)),0)+IFERROR(INDEX(Shows!$H$4:$H$23,MATCH($B218,Shows!$A$4:$A$23,0)),0),2))</f>
        <v/>
      </c>
      <c r="Q218" s="44">
        <f>IF($C218="","",$J218+$K218-$P218)</f>
        <v/>
      </c>
      <c r="R218" s="40" t="n"/>
      <c r="S218" s="40" t="n"/>
      <c r="T218" s="40" t="n"/>
    </row>
    <row r="219">
      <c r="A219" s="48" t="n"/>
      <c r="B219" s="34" t="n"/>
      <c r="C219" s="34" t="n"/>
      <c r="D219" s="15">
        <f>IF($C219="","",IFERROR(INDEX(Inventory!$B$4:$B$253,MATCH($C219,Inventory!$A$4:$A$253,0))&amp;" "&amp;INDEX(Inventory!$C$4:$C$253,MATCH($C219,Inventory!$A$4:$A$253,0)),"SKU not in Inventory"))</f>
        <v/>
      </c>
      <c r="E219" s="36" t="n"/>
      <c r="F219" s="35" t="n"/>
      <c r="G219" s="35" t="n"/>
      <c r="H219" s="49">
        <f>IF($C219="","",IFERROR(INDEX(Inventory!$H$4:$H$253,MATCH($C219,Inventory!$A$4:$A$253,0)),0))</f>
        <v/>
      </c>
      <c r="I219" s="34" t="n"/>
      <c r="J219" s="38">
        <f>IF($C219="","",MAX(0,$E219*$F219-$G219))</f>
        <v/>
      </c>
      <c r="K219" s="38">
        <f>IF(OR($C219="",$I219="No"),0,ROUND($J219*IFERROR(INDEX(Shows!$F$4:$F$23,MATCH($B219,Shows!$A$4:$A$23,0)),0),2))</f>
        <v/>
      </c>
      <c r="L219" s="38">
        <f>IF($C219="","",$E219*$H219)</f>
        <v/>
      </c>
      <c r="M219" s="38">
        <f>IF($C219="","",$J219-$L219-$P219)</f>
        <v/>
      </c>
      <c r="N219" s="34" t="n"/>
      <c r="O219" s="34" t="n"/>
      <c r="P219" s="38">
        <f>IF(OR($C219="",$N219&lt;&gt;"Card"),0,ROUND(($J219+$K219)*IFERROR(INDEX(Shows!$G$4:$G$23,MATCH($B219,Shows!$A$4:$A$23,0)),0)+IFERROR(INDEX(Shows!$H$4:$H$23,MATCH($B219,Shows!$A$4:$A$23,0)),0),2))</f>
        <v/>
      </c>
      <c r="Q219" s="38">
        <f>IF($C219="","",$J219+$K219-$P219)</f>
        <v/>
      </c>
      <c r="R219" s="34" t="n"/>
      <c r="S219" s="34" t="n"/>
      <c r="T219" s="34" t="n"/>
    </row>
    <row r="220">
      <c r="A220" s="46" t="n"/>
      <c r="B220" s="40" t="n"/>
      <c r="C220" s="40" t="n"/>
      <c r="D220" s="11">
        <f>IF($C220="","",IFERROR(INDEX(Inventory!$B$4:$B$253,MATCH($C220,Inventory!$A$4:$A$253,0))&amp;" "&amp;INDEX(Inventory!$C$4:$C$253,MATCH($C220,Inventory!$A$4:$A$253,0)),"SKU not in Inventory"))</f>
        <v/>
      </c>
      <c r="E220" s="42" t="n"/>
      <c r="F220" s="41" t="n"/>
      <c r="G220" s="41" t="n"/>
      <c r="H220" s="47">
        <f>IF($C220="","",IFERROR(INDEX(Inventory!$H$4:$H$253,MATCH($C220,Inventory!$A$4:$A$253,0)),0))</f>
        <v/>
      </c>
      <c r="I220" s="40" t="n"/>
      <c r="J220" s="44">
        <f>IF($C220="","",MAX(0,$E220*$F220-$G220))</f>
        <v/>
      </c>
      <c r="K220" s="44">
        <f>IF(OR($C220="",$I220="No"),0,ROUND($J220*IFERROR(INDEX(Shows!$F$4:$F$23,MATCH($B220,Shows!$A$4:$A$23,0)),0),2))</f>
        <v/>
      </c>
      <c r="L220" s="44">
        <f>IF($C220="","",$E220*$H220)</f>
        <v/>
      </c>
      <c r="M220" s="44">
        <f>IF($C220="","",$J220-$L220-$P220)</f>
        <v/>
      </c>
      <c r="N220" s="40" t="n"/>
      <c r="O220" s="40" t="n"/>
      <c r="P220" s="44">
        <f>IF(OR($C220="",$N220&lt;&gt;"Card"),0,ROUND(($J220+$K220)*IFERROR(INDEX(Shows!$G$4:$G$23,MATCH($B220,Shows!$A$4:$A$23,0)),0)+IFERROR(INDEX(Shows!$H$4:$H$23,MATCH($B220,Shows!$A$4:$A$23,0)),0),2))</f>
        <v/>
      </c>
      <c r="Q220" s="44">
        <f>IF($C220="","",$J220+$K220-$P220)</f>
        <v/>
      </c>
      <c r="R220" s="40" t="n"/>
      <c r="S220" s="40" t="n"/>
      <c r="T220" s="40" t="n"/>
    </row>
    <row r="221">
      <c r="A221" s="48" t="n"/>
      <c r="B221" s="34" t="n"/>
      <c r="C221" s="34" t="n"/>
      <c r="D221" s="15">
        <f>IF($C221="","",IFERROR(INDEX(Inventory!$B$4:$B$253,MATCH($C221,Inventory!$A$4:$A$253,0))&amp;" "&amp;INDEX(Inventory!$C$4:$C$253,MATCH($C221,Inventory!$A$4:$A$253,0)),"SKU not in Inventory"))</f>
        <v/>
      </c>
      <c r="E221" s="36" t="n"/>
      <c r="F221" s="35" t="n"/>
      <c r="G221" s="35" t="n"/>
      <c r="H221" s="49">
        <f>IF($C221="","",IFERROR(INDEX(Inventory!$H$4:$H$253,MATCH($C221,Inventory!$A$4:$A$253,0)),0))</f>
        <v/>
      </c>
      <c r="I221" s="34" t="n"/>
      <c r="J221" s="38">
        <f>IF($C221="","",MAX(0,$E221*$F221-$G221))</f>
        <v/>
      </c>
      <c r="K221" s="38">
        <f>IF(OR($C221="",$I221="No"),0,ROUND($J221*IFERROR(INDEX(Shows!$F$4:$F$23,MATCH($B221,Shows!$A$4:$A$23,0)),0),2))</f>
        <v/>
      </c>
      <c r="L221" s="38">
        <f>IF($C221="","",$E221*$H221)</f>
        <v/>
      </c>
      <c r="M221" s="38">
        <f>IF($C221="","",$J221-$L221-$P221)</f>
        <v/>
      </c>
      <c r="N221" s="34" t="n"/>
      <c r="O221" s="34" t="n"/>
      <c r="P221" s="38">
        <f>IF(OR($C221="",$N221&lt;&gt;"Card"),0,ROUND(($J221+$K221)*IFERROR(INDEX(Shows!$G$4:$G$23,MATCH($B221,Shows!$A$4:$A$23,0)),0)+IFERROR(INDEX(Shows!$H$4:$H$23,MATCH($B221,Shows!$A$4:$A$23,0)),0),2))</f>
        <v/>
      </c>
      <c r="Q221" s="38">
        <f>IF($C221="","",$J221+$K221-$P221)</f>
        <v/>
      </c>
      <c r="R221" s="34" t="n"/>
      <c r="S221" s="34" t="n"/>
      <c r="T221" s="34" t="n"/>
    </row>
    <row r="222">
      <c r="A222" s="46" t="n"/>
      <c r="B222" s="40" t="n"/>
      <c r="C222" s="40" t="n"/>
      <c r="D222" s="11">
        <f>IF($C222="","",IFERROR(INDEX(Inventory!$B$4:$B$253,MATCH($C222,Inventory!$A$4:$A$253,0))&amp;" "&amp;INDEX(Inventory!$C$4:$C$253,MATCH($C222,Inventory!$A$4:$A$253,0)),"SKU not in Inventory"))</f>
        <v/>
      </c>
      <c r="E222" s="42" t="n"/>
      <c r="F222" s="41" t="n"/>
      <c r="G222" s="41" t="n"/>
      <c r="H222" s="47">
        <f>IF($C222="","",IFERROR(INDEX(Inventory!$H$4:$H$253,MATCH($C222,Inventory!$A$4:$A$253,0)),0))</f>
        <v/>
      </c>
      <c r="I222" s="40" t="n"/>
      <c r="J222" s="44">
        <f>IF($C222="","",MAX(0,$E222*$F222-$G222))</f>
        <v/>
      </c>
      <c r="K222" s="44">
        <f>IF(OR($C222="",$I222="No"),0,ROUND($J222*IFERROR(INDEX(Shows!$F$4:$F$23,MATCH($B222,Shows!$A$4:$A$23,0)),0),2))</f>
        <v/>
      </c>
      <c r="L222" s="44">
        <f>IF($C222="","",$E222*$H222)</f>
        <v/>
      </c>
      <c r="M222" s="44">
        <f>IF($C222="","",$J222-$L222-$P222)</f>
        <v/>
      </c>
      <c r="N222" s="40" t="n"/>
      <c r="O222" s="40" t="n"/>
      <c r="P222" s="44">
        <f>IF(OR($C222="",$N222&lt;&gt;"Card"),0,ROUND(($J222+$K222)*IFERROR(INDEX(Shows!$G$4:$G$23,MATCH($B222,Shows!$A$4:$A$23,0)),0)+IFERROR(INDEX(Shows!$H$4:$H$23,MATCH($B222,Shows!$A$4:$A$23,0)),0),2))</f>
        <v/>
      </c>
      <c r="Q222" s="44">
        <f>IF($C222="","",$J222+$K222-$P222)</f>
        <v/>
      </c>
      <c r="R222" s="40" t="n"/>
      <c r="S222" s="40" t="n"/>
      <c r="T222" s="40" t="n"/>
    </row>
    <row r="223">
      <c r="A223" s="48" t="n"/>
      <c r="B223" s="34" t="n"/>
      <c r="C223" s="34" t="n"/>
      <c r="D223" s="15">
        <f>IF($C223="","",IFERROR(INDEX(Inventory!$B$4:$B$253,MATCH($C223,Inventory!$A$4:$A$253,0))&amp;" "&amp;INDEX(Inventory!$C$4:$C$253,MATCH($C223,Inventory!$A$4:$A$253,0)),"SKU not in Inventory"))</f>
        <v/>
      </c>
      <c r="E223" s="36" t="n"/>
      <c r="F223" s="35" t="n"/>
      <c r="G223" s="35" t="n"/>
      <c r="H223" s="49">
        <f>IF($C223="","",IFERROR(INDEX(Inventory!$H$4:$H$253,MATCH($C223,Inventory!$A$4:$A$253,0)),0))</f>
        <v/>
      </c>
      <c r="I223" s="34" t="n"/>
      <c r="J223" s="38">
        <f>IF($C223="","",MAX(0,$E223*$F223-$G223))</f>
        <v/>
      </c>
      <c r="K223" s="38">
        <f>IF(OR($C223="",$I223="No"),0,ROUND($J223*IFERROR(INDEX(Shows!$F$4:$F$23,MATCH($B223,Shows!$A$4:$A$23,0)),0),2))</f>
        <v/>
      </c>
      <c r="L223" s="38">
        <f>IF($C223="","",$E223*$H223)</f>
        <v/>
      </c>
      <c r="M223" s="38">
        <f>IF($C223="","",$J223-$L223-$P223)</f>
        <v/>
      </c>
      <c r="N223" s="34" t="n"/>
      <c r="O223" s="34" t="n"/>
      <c r="P223" s="38">
        <f>IF(OR($C223="",$N223&lt;&gt;"Card"),0,ROUND(($J223+$K223)*IFERROR(INDEX(Shows!$G$4:$G$23,MATCH($B223,Shows!$A$4:$A$23,0)),0)+IFERROR(INDEX(Shows!$H$4:$H$23,MATCH($B223,Shows!$A$4:$A$23,0)),0),2))</f>
        <v/>
      </c>
      <c r="Q223" s="38">
        <f>IF($C223="","",$J223+$K223-$P223)</f>
        <v/>
      </c>
      <c r="R223" s="34" t="n"/>
      <c r="S223" s="34" t="n"/>
      <c r="T223" s="34" t="n"/>
    </row>
    <row r="224">
      <c r="A224" s="46" t="n"/>
      <c r="B224" s="40" t="n"/>
      <c r="C224" s="40" t="n"/>
      <c r="D224" s="11">
        <f>IF($C224="","",IFERROR(INDEX(Inventory!$B$4:$B$253,MATCH($C224,Inventory!$A$4:$A$253,0))&amp;" "&amp;INDEX(Inventory!$C$4:$C$253,MATCH($C224,Inventory!$A$4:$A$253,0)),"SKU not in Inventory"))</f>
        <v/>
      </c>
      <c r="E224" s="42" t="n"/>
      <c r="F224" s="41" t="n"/>
      <c r="G224" s="41" t="n"/>
      <c r="H224" s="47">
        <f>IF($C224="","",IFERROR(INDEX(Inventory!$H$4:$H$253,MATCH($C224,Inventory!$A$4:$A$253,0)),0))</f>
        <v/>
      </c>
      <c r="I224" s="40" t="n"/>
      <c r="J224" s="44">
        <f>IF($C224="","",MAX(0,$E224*$F224-$G224))</f>
        <v/>
      </c>
      <c r="K224" s="44">
        <f>IF(OR($C224="",$I224="No"),0,ROUND($J224*IFERROR(INDEX(Shows!$F$4:$F$23,MATCH($B224,Shows!$A$4:$A$23,0)),0),2))</f>
        <v/>
      </c>
      <c r="L224" s="44">
        <f>IF($C224="","",$E224*$H224)</f>
        <v/>
      </c>
      <c r="M224" s="44">
        <f>IF($C224="","",$J224-$L224-$P224)</f>
        <v/>
      </c>
      <c r="N224" s="40" t="n"/>
      <c r="O224" s="40" t="n"/>
      <c r="P224" s="44">
        <f>IF(OR($C224="",$N224&lt;&gt;"Card"),0,ROUND(($J224+$K224)*IFERROR(INDEX(Shows!$G$4:$G$23,MATCH($B224,Shows!$A$4:$A$23,0)),0)+IFERROR(INDEX(Shows!$H$4:$H$23,MATCH($B224,Shows!$A$4:$A$23,0)),0),2))</f>
        <v/>
      </c>
      <c r="Q224" s="44">
        <f>IF($C224="","",$J224+$K224-$P224)</f>
        <v/>
      </c>
      <c r="R224" s="40" t="n"/>
      <c r="S224" s="40" t="n"/>
      <c r="T224" s="40" t="n"/>
    </row>
    <row r="225">
      <c r="A225" s="48" t="n"/>
      <c r="B225" s="34" t="n"/>
      <c r="C225" s="34" t="n"/>
      <c r="D225" s="15">
        <f>IF($C225="","",IFERROR(INDEX(Inventory!$B$4:$B$253,MATCH($C225,Inventory!$A$4:$A$253,0))&amp;" "&amp;INDEX(Inventory!$C$4:$C$253,MATCH($C225,Inventory!$A$4:$A$253,0)),"SKU not in Inventory"))</f>
        <v/>
      </c>
      <c r="E225" s="36" t="n"/>
      <c r="F225" s="35" t="n"/>
      <c r="G225" s="35" t="n"/>
      <c r="H225" s="49">
        <f>IF($C225="","",IFERROR(INDEX(Inventory!$H$4:$H$253,MATCH($C225,Inventory!$A$4:$A$253,0)),0))</f>
        <v/>
      </c>
      <c r="I225" s="34" t="n"/>
      <c r="J225" s="38">
        <f>IF($C225="","",MAX(0,$E225*$F225-$G225))</f>
        <v/>
      </c>
      <c r="K225" s="38">
        <f>IF(OR($C225="",$I225="No"),0,ROUND($J225*IFERROR(INDEX(Shows!$F$4:$F$23,MATCH($B225,Shows!$A$4:$A$23,0)),0),2))</f>
        <v/>
      </c>
      <c r="L225" s="38">
        <f>IF($C225="","",$E225*$H225)</f>
        <v/>
      </c>
      <c r="M225" s="38">
        <f>IF($C225="","",$J225-$L225-$P225)</f>
        <v/>
      </c>
      <c r="N225" s="34" t="n"/>
      <c r="O225" s="34" t="n"/>
      <c r="P225" s="38">
        <f>IF(OR($C225="",$N225&lt;&gt;"Card"),0,ROUND(($J225+$K225)*IFERROR(INDEX(Shows!$G$4:$G$23,MATCH($B225,Shows!$A$4:$A$23,0)),0)+IFERROR(INDEX(Shows!$H$4:$H$23,MATCH($B225,Shows!$A$4:$A$23,0)),0),2))</f>
        <v/>
      </c>
      <c r="Q225" s="38">
        <f>IF($C225="","",$J225+$K225-$P225)</f>
        <v/>
      </c>
      <c r="R225" s="34" t="n"/>
      <c r="S225" s="34" t="n"/>
      <c r="T225" s="34" t="n"/>
    </row>
    <row r="226">
      <c r="A226" s="46" t="n"/>
      <c r="B226" s="40" t="n"/>
      <c r="C226" s="40" t="n"/>
      <c r="D226" s="11">
        <f>IF($C226="","",IFERROR(INDEX(Inventory!$B$4:$B$253,MATCH($C226,Inventory!$A$4:$A$253,0))&amp;" "&amp;INDEX(Inventory!$C$4:$C$253,MATCH($C226,Inventory!$A$4:$A$253,0)),"SKU not in Inventory"))</f>
        <v/>
      </c>
      <c r="E226" s="42" t="n"/>
      <c r="F226" s="41" t="n"/>
      <c r="G226" s="41" t="n"/>
      <c r="H226" s="47">
        <f>IF($C226="","",IFERROR(INDEX(Inventory!$H$4:$H$253,MATCH($C226,Inventory!$A$4:$A$253,0)),0))</f>
        <v/>
      </c>
      <c r="I226" s="40" t="n"/>
      <c r="J226" s="44">
        <f>IF($C226="","",MAX(0,$E226*$F226-$G226))</f>
        <v/>
      </c>
      <c r="K226" s="44">
        <f>IF(OR($C226="",$I226="No"),0,ROUND($J226*IFERROR(INDEX(Shows!$F$4:$F$23,MATCH($B226,Shows!$A$4:$A$23,0)),0),2))</f>
        <v/>
      </c>
      <c r="L226" s="44">
        <f>IF($C226="","",$E226*$H226)</f>
        <v/>
      </c>
      <c r="M226" s="44">
        <f>IF($C226="","",$J226-$L226-$P226)</f>
        <v/>
      </c>
      <c r="N226" s="40" t="n"/>
      <c r="O226" s="40" t="n"/>
      <c r="P226" s="44">
        <f>IF(OR($C226="",$N226&lt;&gt;"Card"),0,ROUND(($J226+$K226)*IFERROR(INDEX(Shows!$G$4:$G$23,MATCH($B226,Shows!$A$4:$A$23,0)),0)+IFERROR(INDEX(Shows!$H$4:$H$23,MATCH($B226,Shows!$A$4:$A$23,0)),0),2))</f>
        <v/>
      </c>
      <c r="Q226" s="44">
        <f>IF($C226="","",$J226+$K226-$P226)</f>
        <v/>
      </c>
      <c r="R226" s="40" t="n"/>
      <c r="S226" s="40" t="n"/>
      <c r="T226" s="40" t="n"/>
    </row>
    <row r="227">
      <c r="A227" s="48" t="n"/>
      <c r="B227" s="34" t="n"/>
      <c r="C227" s="34" t="n"/>
      <c r="D227" s="15">
        <f>IF($C227="","",IFERROR(INDEX(Inventory!$B$4:$B$253,MATCH($C227,Inventory!$A$4:$A$253,0))&amp;" "&amp;INDEX(Inventory!$C$4:$C$253,MATCH($C227,Inventory!$A$4:$A$253,0)),"SKU not in Inventory"))</f>
        <v/>
      </c>
      <c r="E227" s="36" t="n"/>
      <c r="F227" s="35" t="n"/>
      <c r="G227" s="35" t="n"/>
      <c r="H227" s="49">
        <f>IF($C227="","",IFERROR(INDEX(Inventory!$H$4:$H$253,MATCH($C227,Inventory!$A$4:$A$253,0)),0))</f>
        <v/>
      </c>
      <c r="I227" s="34" t="n"/>
      <c r="J227" s="38">
        <f>IF($C227="","",MAX(0,$E227*$F227-$G227))</f>
        <v/>
      </c>
      <c r="K227" s="38">
        <f>IF(OR($C227="",$I227="No"),0,ROUND($J227*IFERROR(INDEX(Shows!$F$4:$F$23,MATCH($B227,Shows!$A$4:$A$23,0)),0),2))</f>
        <v/>
      </c>
      <c r="L227" s="38">
        <f>IF($C227="","",$E227*$H227)</f>
        <v/>
      </c>
      <c r="M227" s="38">
        <f>IF($C227="","",$J227-$L227-$P227)</f>
        <v/>
      </c>
      <c r="N227" s="34" t="n"/>
      <c r="O227" s="34" t="n"/>
      <c r="P227" s="38">
        <f>IF(OR($C227="",$N227&lt;&gt;"Card"),0,ROUND(($J227+$K227)*IFERROR(INDEX(Shows!$G$4:$G$23,MATCH($B227,Shows!$A$4:$A$23,0)),0)+IFERROR(INDEX(Shows!$H$4:$H$23,MATCH($B227,Shows!$A$4:$A$23,0)),0),2))</f>
        <v/>
      </c>
      <c r="Q227" s="38">
        <f>IF($C227="","",$J227+$K227-$P227)</f>
        <v/>
      </c>
      <c r="R227" s="34" t="n"/>
      <c r="S227" s="34" t="n"/>
      <c r="T227" s="34" t="n"/>
    </row>
    <row r="228">
      <c r="A228" s="46" t="n"/>
      <c r="B228" s="40" t="n"/>
      <c r="C228" s="40" t="n"/>
      <c r="D228" s="11">
        <f>IF($C228="","",IFERROR(INDEX(Inventory!$B$4:$B$253,MATCH($C228,Inventory!$A$4:$A$253,0))&amp;" "&amp;INDEX(Inventory!$C$4:$C$253,MATCH($C228,Inventory!$A$4:$A$253,0)),"SKU not in Inventory"))</f>
        <v/>
      </c>
      <c r="E228" s="42" t="n"/>
      <c r="F228" s="41" t="n"/>
      <c r="G228" s="41" t="n"/>
      <c r="H228" s="47">
        <f>IF($C228="","",IFERROR(INDEX(Inventory!$H$4:$H$253,MATCH($C228,Inventory!$A$4:$A$253,0)),0))</f>
        <v/>
      </c>
      <c r="I228" s="40" t="n"/>
      <c r="J228" s="44">
        <f>IF($C228="","",MAX(0,$E228*$F228-$G228))</f>
        <v/>
      </c>
      <c r="K228" s="44">
        <f>IF(OR($C228="",$I228="No"),0,ROUND($J228*IFERROR(INDEX(Shows!$F$4:$F$23,MATCH($B228,Shows!$A$4:$A$23,0)),0),2))</f>
        <v/>
      </c>
      <c r="L228" s="44">
        <f>IF($C228="","",$E228*$H228)</f>
        <v/>
      </c>
      <c r="M228" s="44">
        <f>IF($C228="","",$J228-$L228-$P228)</f>
        <v/>
      </c>
      <c r="N228" s="40" t="n"/>
      <c r="O228" s="40" t="n"/>
      <c r="P228" s="44">
        <f>IF(OR($C228="",$N228&lt;&gt;"Card"),0,ROUND(($J228+$K228)*IFERROR(INDEX(Shows!$G$4:$G$23,MATCH($B228,Shows!$A$4:$A$23,0)),0)+IFERROR(INDEX(Shows!$H$4:$H$23,MATCH($B228,Shows!$A$4:$A$23,0)),0),2))</f>
        <v/>
      </c>
      <c r="Q228" s="44">
        <f>IF($C228="","",$J228+$K228-$P228)</f>
        <v/>
      </c>
      <c r="R228" s="40" t="n"/>
      <c r="S228" s="40" t="n"/>
      <c r="T228" s="40" t="n"/>
    </row>
    <row r="229">
      <c r="A229" s="48" t="n"/>
      <c r="B229" s="34" t="n"/>
      <c r="C229" s="34" t="n"/>
      <c r="D229" s="15">
        <f>IF($C229="","",IFERROR(INDEX(Inventory!$B$4:$B$253,MATCH($C229,Inventory!$A$4:$A$253,0))&amp;" "&amp;INDEX(Inventory!$C$4:$C$253,MATCH($C229,Inventory!$A$4:$A$253,0)),"SKU not in Inventory"))</f>
        <v/>
      </c>
      <c r="E229" s="36" t="n"/>
      <c r="F229" s="35" t="n"/>
      <c r="G229" s="35" t="n"/>
      <c r="H229" s="49">
        <f>IF($C229="","",IFERROR(INDEX(Inventory!$H$4:$H$253,MATCH($C229,Inventory!$A$4:$A$253,0)),0))</f>
        <v/>
      </c>
      <c r="I229" s="34" t="n"/>
      <c r="J229" s="38">
        <f>IF($C229="","",MAX(0,$E229*$F229-$G229))</f>
        <v/>
      </c>
      <c r="K229" s="38">
        <f>IF(OR($C229="",$I229="No"),0,ROUND($J229*IFERROR(INDEX(Shows!$F$4:$F$23,MATCH($B229,Shows!$A$4:$A$23,0)),0),2))</f>
        <v/>
      </c>
      <c r="L229" s="38">
        <f>IF($C229="","",$E229*$H229)</f>
        <v/>
      </c>
      <c r="M229" s="38">
        <f>IF($C229="","",$J229-$L229-$P229)</f>
        <v/>
      </c>
      <c r="N229" s="34" t="n"/>
      <c r="O229" s="34" t="n"/>
      <c r="P229" s="38">
        <f>IF(OR($C229="",$N229&lt;&gt;"Card"),0,ROUND(($J229+$K229)*IFERROR(INDEX(Shows!$G$4:$G$23,MATCH($B229,Shows!$A$4:$A$23,0)),0)+IFERROR(INDEX(Shows!$H$4:$H$23,MATCH($B229,Shows!$A$4:$A$23,0)),0),2))</f>
        <v/>
      </c>
      <c r="Q229" s="38">
        <f>IF($C229="","",$J229+$K229-$P229)</f>
        <v/>
      </c>
      <c r="R229" s="34" t="n"/>
      <c r="S229" s="34" t="n"/>
      <c r="T229" s="34" t="n"/>
    </row>
    <row r="230">
      <c r="A230" s="46" t="n"/>
      <c r="B230" s="40" t="n"/>
      <c r="C230" s="40" t="n"/>
      <c r="D230" s="11">
        <f>IF($C230="","",IFERROR(INDEX(Inventory!$B$4:$B$253,MATCH($C230,Inventory!$A$4:$A$253,0))&amp;" "&amp;INDEX(Inventory!$C$4:$C$253,MATCH($C230,Inventory!$A$4:$A$253,0)),"SKU not in Inventory"))</f>
        <v/>
      </c>
      <c r="E230" s="42" t="n"/>
      <c r="F230" s="41" t="n"/>
      <c r="G230" s="41" t="n"/>
      <c r="H230" s="47">
        <f>IF($C230="","",IFERROR(INDEX(Inventory!$H$4:$H$253,MATCH($C230,Inventory!$A$4:$A$253,0)),0))</f>
        <v/>
      </c>
      <c r="I230" s="40" t="n"/>
      <c r="J230" s="44">
        <f>IF($C230="","",MAX(0,$E230*$F230-$G230))</f>
        <v/>
      </c>
      <c r="K230" s="44">
        <f>IF(OR($C230="",$I230="No"),0,ROUND($J230*IFERROR(INDEX(Shows!$F$4:$F$23,MATCH($B230,Shows!$A$4:$A$23,0)),0),2))</f>
        <v/>
      </c>
      <c r="L230" s="44">
        <f>IF($C230="","",$E230*$H230)</f>
        <v/>
      </c>
      <c r="M230" s="44">
        <f>IF($C230="","",$J230-$L230-$P230)</f>
        <v/>
      </c>
      <c r="N230" s="40" t="n"/>
      <c r="O230" s="40" t="n"/>
      <c r="P230" s="44">
        <f>IF(OR($C230="",$N230&lt;&gt;"Card"),0,ROUND(($J230+$K230)*IFERROR(INDEX(Shows!$G$4:$G$23,MATCH($B230,Shows!$A$4:$A$23,0)),0)+IFERROR(INDEX(Shows!$H$4:$H$23,MATCH($B230,Shows!$A$4:$A$23,0)),0),2))</f>
        <v/>
      </c>
      <c r="Q230" s="44">
        <f>IF($C230="","",$J230+$K230-$P230)</f>
        <v/>
      </c>
      <c r="R230" s="40" t="n"/>
      <c r="S230" s="40" t="n"/>
      <c r="T230" s="40" t="n"/>
    </row>
    <row r="231">
      <c r="A231" s="48" t="n"/>
      <c r="B231" s="34" t="n"/>
      <c r="C231" s="34" t="n"/>
      <c r="D231" s="15">
        <f>IF($C231="","",IFERROR(INDEX(Inventory!$B$4:$B$253,MATCH($C231,Inventory!$A$4:$A$253,0))&amp;" "&amp;INDEX(Inventory!$C$4:$C$253,MATCH($C231,Inventory!$A$4:$A$253,0)),"SKU not in Inventory"))</f>
        <v/>
      </c>
      <c r="E231" s="36" t="n"/>
      <c r="F231" s="35" t="n"/>
      <c r="G231" s="35" t="n"/>
      <c r="H231" s="49">
        <f>IF($C231="","",IFERROR(INDEX(Inventory!$H$4:$H$253,MATCH($C231,Inventory!$A$4:$A$253,0)),0))</f>
        <v/>
      </c>
      <c r="I231" s="34" t="n"/>
      <c r="J231" s="38">
        <f>IF($C231="","",MAX(0,$E231*$F231-$G231))</f>
        <v/>
      </c>
      <c r="K231" s="38">
        <f>IF(OR($C231="",$I231="No"),0,ROUND($J231*IFERROR(INDEX(Shows!$F$4:$F$23,MATCH($B231,Shows!$A$4:$A$23,0)),0),2))</f>
        <v/>
      </c>
      <c r="L231" s="38">
        <f>IF($C231="","",$E231*$H231)</f>
        <v/>
      </c>
      <c r="M231" s="38">
        <f>IF($C231="","",$J231-$L231-$P231)</f>
        <v/>
      </c>
      <c r="N231" s="34" t="n"/>
      <c r="O231" s="34" t="n"/>
      <c r="P231" s="38">
        <f>IF(OR($C231="",$N231&lt;&gt;"Card"),0,ROUND(($J231+$K231)*IFERROR(INDEX(Shows!$G$4:$G$23,MATCH($B231,Shows!$A$4:$A$23,0)),0)+IFERROR(INDEX(Shows!$H$4:$H$23,MATCH($B231,Shows!$A$4:$A$23,0)),0),2))</f>
        <v/>
      </c>
      <c r="Q231" s="38">
        <f>IF($C231="","",$J231+$K231-$P231)</f>
        <v/>
      </c>
      <c r="R231" s="34" t="n"/>
      <c r="S231" s="34" t="n"/>
      <c r="T231" s="34" t="n"/>
    </row>
    <row r="232">
      <c r="A232" s="46" t="n"/>
      <c r="B232" s="40" t="n"/>
      <c r="C232" s="40" t="n"/>
      <c r="D232" s="11">
        <f>IF($C232="","",IFERROR(INDEX(Inventory!$B$4:$B$253,MATCH($C232,Inventory!$A$4:$A$253,0))&amp;" "&amp;INDEX(Inventory!$C$4:$C$253,MATCH($C232,Inventory!$A$4:$A$253,0)),"SKU not in Inventory"))</f>
        <v/>
      </c>
      <c r="E232" s="42" t="n"/>
      <c r="F232" s="41" t="n"/>
      <c r="G232" s="41" t="n"/>
      <c r="H232" s="47">
        <f>IF($C232="","",IFERROR(INDEX(Inventory!$H$4:$H$253,MATCH($C232,Inventory!$A$4:$A$253,0)),0))</f>
        <v/>
      </c>
      <c r="I232" s="40" t="n"/>
      <c r="J232" s="44">
        <f>IF($C232="","",MAX(0,$E232*$F232-$G232))</f>
        <v/>
      </c>
      <c r="K232" s="44">
        <f>IF(OR($C232="",$I232="No"),0,ROUND($J232*IFERROR(INDEX(Shows!$F$4:$F$23,MATCH($B232,Shows!$A$4:$A$23,0)),0),2))</f>
        <v/>
      </c>
      <c r="L232" s="44">
        <f>IF($C232="","",$E232*$H232)</f>
        <v/>
      </c>
      <c r="M232" s="44">
        <f>IF($C232="","",$J232-$L232-$P232)</f>
        <v/>
      </c>
      <c r="N232" s="40" t="n"/>
      <c r="O232" s="40" t="n"/>
      <c r="P232" s="44">
        <f>IF(OR($C232="",$N232&lt;&gt;"Card"),0,ROUND(($J232+$K232)*IFERROR(INDEX(Shows!$G$4:$G$23,MATCH($B232,Shows!$A$4:$A$23,0)),0)+IFERROR(INDEX(Shows!$H$4:$H$23,MATCH($B232,Shows!$A$4:$A$23,0)),0),2))</f>
        <v/>
      </c>
      <c r="Q232" s="44">
        <f>IF($C232="","",$J232+$K232-$P232)</f>
        <v/>
      </c>
      <c r="R232" s="40" t="n"/>
      <c r="S232" s="40" t="n"/>
      <c r="T232" s="40" t="n"/>
    </row>
    <row r="233">
      <c r="A233" s="48" t="n"/>
      <c r="B233" s="34" t="n"/>
      <c r="C233" s="34" t="n"/>
      <c r="D233" s="15">
        <f>IF($C233="","",IFERROR(INDEX(Inventory!$B$4:$B$253,MATCH($C233,Inventory!$A$4:$A$253,0))&amp;" "&amp;INDEX(Inventory!$C$4:$C$253,MATCH($C233,Inventory!$A$4:$A$253,0)),"SKU not in Inventory"))</f>
        <v/>
      </c>
      <c r="E233" s="36" t="n"/>
      <c r="F233" s="35" t="n"/>
      <c r="G233" s="35" t="n"/>
      <c r="H233" s="49">
        <f>IF($C233="","",IFERROR(INDEX(Inventory!$H$4:$H$253,MATCH($C233,Inventory!$A$4:$A$253,0)),0))</f>
        <v/>
      </c>
      <c r="I233" s="34" t="n"/>
      <c r="J233" s="38">
        <f>IF($C233="","",MAX(0,$E233*$F233-$G233))</f>
        <v/>
      </c>
      <c r="K233" s="38">
        <f>IF(OR($C233="",$I233="No"),0,ROUND($J233*IFERROR(INDEX(Shows!$F$4:$F$23,MATCH($B233,Shows!$A$4:$A$23,0)),0),2))</f>
        <v/>
      </c>
      <c r="L233" s="38">
        <f>IF($C233="","",$E233*$H233)</f>
        <v/>
      </c>
      <c r="M233" s="38">
        <f>IF($C233="","",$J233-$L233-$P233)</f>
        <v/>
      </c>
      <c r="N233" s="34" t="n"/>
      <c r="O233" s="34" t="n"/>
      <c r="P233" s="38">
        <f>IF(OR($C233="",$N233&lt;&gt;"Card"),0,ROUND(($J233+$K233)*IFERROR(INDEX(Shows!$G$4:$G$23,MATCH($B233,Shows!$A$4:$A$23,0)),0)+IFERROR(INDEX(Shows!$H$4:$H$23,MATCH($B233,Shows!$A$4:$A$23,0)),0),2))</f>
        <v/>
      </c>
      <c r="Q233" s="38">
        <f>IF($C233="","",$J233+$K233-$P233)</f>
        <v/>
      </c>
      <c r="R233" s="34" t="n"/>
      <c r="S233" s="34" t="n"/>
      <c r="T233" s="34" t="n"/>
    </row>
    <row r="234">
      <c r="A234" s="46" t="n"/>
      <c r="B234" s="40" t="n"/>
      <c r="C234" s="40" t="n"/>
      <c r="D234" s="11">
        <f>IF($C234="","",IFERROR(INDEX(Inventory!$B$4:$B$253,MATCH($C234,Inventory!$A$4:$A$253,0))&amp;" "&amp;INDEX(Inventory!$C$4:$C$253,MATCH($C234,Inventory!$A$4:$A$253,0)),"SKU not in Inventory"))</f>
        <v/>
      </c>
      <c r="E234" s="42" t="n"/>
      <c r="F234" s="41" t="n"/>
      <c r="G234" s="41" t="n"/>
      <c r="H234" s="47">
        <f>IF($C234="","",IFERROR(INDEX(Inventory!$H$4:$H$253,MATCH($C234,Inventory!$A$4:$A$253,0)),0))</f>
        <v/>
      </c>
      <c r="I234" s="40" t="n"/>
      <c r="J234" s="44">
        <f>IF($C234="","",MAX(0,$E234*$F234-$G234))</f>
        <v/>
      </c>
      <c r="K234" s="44">
        <f>IF(OR($C234="",$I234="No"),0,ROUND($J234*IFERROR(INDEX(Shows!$F$4:$F$23,MATCH($B234,Shows!$A$4:$A$23,0)),0),2))</f>
        <v/>
      </c>
      <c r="L234" s="44">
        <f>IF($C234="","",$E234*$H234)</f>
        <v/>
      </c>
      <c r="M234" s="44">
        <f>IF($C234="","",$J234-$L234-$P234)</f>
        <v/>
      </c>
      <c r="N234" s="40" t="n"/>
      <c r="O234" s="40" t="n"/>
      <c r="P234" s="44">
        <f>IF(OR($C234="",$N234&lt;&gt;"Card"),0,ROUND(($J234+$K234)*IFERROR(INDEX(Shows!$G$4:$G$23,MATCH($B234,Shows!$A$4:$A$23,0)),0)+IFERROR(INDEX(Shows!$H$4:$H$23,MATCH($B234,Shows!$A$4:$A$23,0)),0),2))</f>
        <v/>
      </c>
      <c r="Q234" s="44">
        <f>IF($C234="","",$J234+$K234-$P234)</f>
        <v/>
      </c>
      <c r="R234" s="40" t="n"/>
      <c r="S234" s="40" t="n"/>
      <c r="T234" s="40" t="n"/>
    </row>
    <row r="235">
      <c r="A235" s="48" t="n"/>
      <c r="B235" s="34" t="n"/>
      <c r="C235" s="34" t="n"/>
      <c r="D235" s="15">
        <f>IF($C235="","",IFERROR(INDEX(Inventory!$B$4:$B$253,MATCH($C235,Inventory!$A$4:$A$253,0))&amp;" "&amp;INDEX(Inventory!$C$4:$C$253,MATCH($C235,Inventory!$A$4:$A$253,0)),"SKU not in Inventory"))</f>
        <v/>
      </c>
      <c r="E235" s="36" t="n"/>
      <c r="F235" s="35" t="n"/>
      <c r="G235" s="35" t="n"/>
      <c r="H235" s="49">
        <f>IF($C235="","",IFERROR(INDEX(Inventory!$H$4:$H$253,MATCH($C235,Inventory!$A$4:$A$253,0)),0))</f>
        <v/>
      </c>
      <c r="I235" s="34" t="n"/>
      <c r="J235" s="38">
        <f>IF($C235="","",MAX(0,$E235*$F235-$G235))</f>
        <v/>
      </c>
      <c r="K235" s="38">
        <f>IF(OR($C235="",$I235="No"),0,ROUND($J235*IFERROR(INDEX(Shows!$F$4:$F$23,MATCH($B235,Shows!$A$4:$A$23,0)),0),2))</f>
        <v/>
      </c>
      <c r="L235" s="38">
        <f>IF($C235="","",$E235*$H235)</f>
        <v/>
      </c>
      <c r="M235" s="38">
        <f>IF($C235="","",$J235-$L235-$P235)</f>
        <v/>
      </c>
      <c r="N235" s="34" t="n"/>
      <c r="O235" s="34" t="n"/>
      <c r="P235" s="38">
        <f>IF(OR($C235="",$N235&lt;&gt;"Card"),0,ROUND(($J235+$K235)*IFERROR(INDEX(Shows!$G$4:$G$23,MATCH($B235,Shows!$A$4:$A$23,0)),0)+IFERROR(INDEX(Shows!$H$4:$H$23,MATCH($B235,Shows!$A$4:$A$23,0)),0),2))</f>
        <v/>
      </c>
      <c r="Q235" s="38">
        <f>IF($C235="","",$J235+$K235-$P235)</f>
        <v/>
      </c>
      <c r="R235" s="34" t="n"/>
      <c r="S235" s="34" t="n"/>
      <c r="T235" s="34" t="n"/>
    </row>
    <row r="236">
      <c r="A236" s="46" t="n"/>
      <c r="B236" s="40" t="n"/>
      <c r="C236" s="40" t="n"/>
      <c r="D236" s="11">
        <f>IF($C236="","",IFERROR(INDEX(Inventory!$B$4:$B$253,MATCH($C236,Inventory!$A$4:$A$253,0))&amp;" "&amp;INDEX(Inventory!$C$4:$C$253,MATCH($C236,Inventory!$A$4:$A$253,0)),"SKU not in Inventory"))</f>
        <v/>
      </c>
      <c r="E236" s="42" t="n"/>
      <c r="F236" s="41" t="n"/>
      <c r="G236" s="41" t="n"/>
      <c r="H236" s="47">
        <f>IF($C236="","",IFERROR(INDEX(Inventory!$H$4:$H$253,MATCH($C236,Inventory!$A$4:$A$253,0)),0))</f>
        <v/>
      </c>
      <c r="I236" s="40" t="n"/>
      <c r="J236" s="44">
        <f>IF($C236="","",MAX(0,$E236*$F236-$G236))</f>
        <v/>
      </c>
      <c r="K236" s="44">
        <f>IF(OR($C236="",$I236="No"),0,ROUND($J236*IFERROR(INDEX(Shows!$F$4:$F$23,MATCH($B236,Shows!$A$4:$A$23,0)),0),2))</f>
        <v/>
      </c>
      <c r="L236" s="44">
        <f>IF($C236="","",$E236*$H236)</f>
        <v/>
      </c>
      <c r="M236" s="44">
        <f>IF($C236="","",$J236-$L236-$P236)</f>
        <v/>
      </c>
      <c r="N236" s="40" t="n"/>
      <c r="O236" s="40" t="n"/>
      <c r="P236" s="44">
        <f>IF(OR($C236="",$N236&lt;&gt;"Card"),0,ROUND(($J236+$K236)*IFERROR(INDEX(Shows!$G$4:$G$23,MATCH($B236,Shows!$A$4:$A$23,0)),0)+IFERROR(INDEX(Shows!$H$4:$H$23,MATCH($B236,Shows!$A$4:$A$23,0)),0),2))</f>
        <v/>
      </c>
      <c r="Q236" s="44">
        <f>IF($C236="","",$J236+$K236-$P236)</f>
        <v/>
      </c>
      <c r="R236" s="40" t="n"/>
      <c r="S236" s="40" t="n"/>
      <c r="T236" s="40" t="n"/>
    </row>
    <row r="237">
      <c r="A237" s="48" t="n"/>
      <c r="B237" s="34" t="n"/>
      <c r="C237" s="34" t="n"/>
      <c r="D237" s="15">
        <f>IF($C237="","",IFERROR(INDEX(Inventory!$B$4:$B$253,MATCH($C237,Inventory!$A$4:$A$253,0))&amp;" "&amp;INDEX(Inventory!$C$4:$C$253,MATCH($C237,Inventory!$A$4:$A$253,0)),"SKU not in Inventory"))</f>
        <v/>
      </c>
      <c r="E237" s="36" t="n"/>
      <c r="F237" s="35" t="n"/>
      <c r="G237" s="35" t="n"/>
      <c r="H237" s="49">
        <f>IF($C237="","",IFERROR(INDEX(Inventory!$H$4:$H$253,MATCH($C237,Inventory!$A$4:$A$253,0)),0))</f>
        <v/>
      </c>
      <c r="I237" s="34" t="n"/>
      <c r="J237" s="38">
        <f>IF($C237="","",MAX(0,$E237*$F237-$G237))</f>
        <v/>
      </c>
      <c r="K237" s="38">
        <f>IF(OR($C237="",$I237="No"),0,ROUND($J237*IFERROR(INDEX(Shows!$F$4:$F$23,MATCH($B237,Shows!$A$4:$A$23,0)),0),2))</f>
        <v/>
      </c>
      <c r="L237" s="38">
        <f>IF($C237="","",$E237*$H237)</f>
        <v/>
      </c>
      <c r="M237" s="38">
        <f>IF($C237="","",$J237-$L237-$P237)</f>
        <v/>
      </c>
      <c r="N237" s="34" t="n"/>
      <c r="O237" s="34" t="n"/>
      <c r="P237" s="38">
        <f>IF(OR($C237="",$N237&lt;&gt;"Card"),0,ROUND(($J237+$K237)*IFERROR(INDEX(Shows!$G$4:$G$23,MATCH($B237,Shows!$A$4:$A$23,0)),0)+IFERROR(INDEX(Shows!$H$4:$H$23,MATCH($B237,Shows!$A$4:$A$23,0)),0),2))</f>
        <v/>
      </c>
      <c r="Q237" s="38">
        <f>IF($C237="","",$J237+$K237-$P237)</f>
        <v/>
      </c>
      <c r="R237" s="34" t="n"/>
      <c r="S237" s="34" t="n"/>
      <c r="T237" s="34" t="n"/>
    </row>
    <row r="238">
      <c r="A238" s="46" t="n"/>
      <c r="B238" s="40" t="n"/>
      <c r="C238" s="40" t="n"/>
      <c r="D238" s="11">
        <f>IF($C238="","",IFERROR(INDEX(Inventory!$B$4:$B$253,MATCH($C238,Inventory!$A$4:$A$253,0))&amp;" "&amp;INDEX(Inventory!$C$4:$C$253,MATCH($C238,Inventory!$A$4:$A$253,0)),"SKU not in Inventory"))</f>
        <v/>
      </c>
      <c r="E238" s="42" t="n"/>
      <c r="F238" s="41" t="n"/>
      <c r="G238" s="41" t="n"/>
      <c r="H238" s="47">
        <f>IF($C238="","",IFERROR(INDEX(Inventory!$H$4:$H$253,MATCH($C238,Inventory!$A$4:$A$253,0)),0))</f>
        <v/>
      </c>
      <c r="I238" s="40" t="n"/>
      <c r="J238" s="44">
        <f>IF($C238="","",MAX(0,$E238*$F238-$G238))</f>
        <v/>
      </c>
      <c r="K238" s="44">
        <f>IF(OR($C238="",$I238="No"),0,ROUND($J238*IFERROR(INDEX(Shows!$F$4:$F$23,MATCH($B238,Shows!$A$4:$A$23,0)),0),2))</f>
        <v/>
      </c>
      <c r="L238" s="44">
        <f>IF($C238="","",$E238*$H238)</f>
        <v/>
      </c>
      <c r="M238" s="44">
        <f>IF($C238="","",$J238-$L238-$P238)</f>
        <v/>
      </c>
      <c r="N238" s="40" t="n"/>
      <c r="O238" s="40" t="n"/>
      <c r="P238" s="44">
        <f>IF(OR($C238="",$N238&lt;&gt;"Card"),0,ROUND(($J238+$K238)*IFERROR(INDEX(Shows!$G$4:$G$23,MATCH($B238,Shows!$A$4:$A$23,0)),0)+IFERROR(INDEX(Shows!$H$4:$H$23,MATCH($B238,Shows!$A$4:$A$23,0)),0),2))</f>
        <v/>
      </c>
      <c r="Q238" s="44">
        <f>IF($C238="","",$J238+$K238-$P238)</f>
        <v/>
      </c>
      <c r="R238" s="40" t="n"/>
      <c r="S238" s="40" t="n"/>
      <c r="T238" s="40" t="n"/>
    </row>
    <row r="239">
      <c r="A239" s="48" t="n"/>
      <c r="B239" s="34" t="n"/>
      <c r="C239" s="34" t="n"/>
      <c r="D239" s="15">
        <f>IF($C239="","",IFERROR(INDEX(Inventory!$B$4:$B$253,MATCH($C239,Inventory!$A$4:$A$253,0))&amp;" "&amp;INDEX(Inventory!$C$4:$C$253,MATCH($C239,Inventory!$A$4:$A$253,0)),"SKU not in Inventory"))</f>
        <v/>
      </c>
      <c r="E239" s="36" t="n"/>
      <c r="F239" s="35" t="n"/>
      <c r="G239" s="35" t="n"/>
      <c r="H239" s="49">
        <f>IF($C239="","",IFERROR(INDEX(Inventory!$H$4:$H$253,MATCH($C239,Inventory!$A$4:$A$253,0)),0))</f>
        <v/>
      </c>
      <c r="I239" s="34" t="n"/>
      <c r="J239" s="38">
        <f>IF($C239="","",MAX(0,$E239*$F239-$G239))</f>
        <v/>
      </c>
      <c r="K239" s="38">
        <f>IF(OR($C239="",$I239="No"),0,ROUND($J239*IFERROR(INDEX(Shows!$F$4:$F$23,MATCH($B239,Shows!$A$4:$A$23,0)),0),2))</f>
        <v/>
      </c>
      <c r="L239" s="38">
        <f>IF($C239="","",$E239*$H239)</f>
        <v/>
      </c>
      <c r="M239" s="38">
        <f>IF($C239="","",$J239-$L239-$P239)</f>
        <v/>
      </c>
      <c r="N239" s="34" t="n"/>
      <c r="O239" s="34" t="n"/>
      <c r="P239" s="38">
        <f>IF(OR($C239="",$N239&lt;&gt;"Card"),0,ROUND(($J239+$K239)*IFERROR(INDEX(Shows!$G$4:$G$23,MATCH($B239,Shows!$A$4:$A$23,0)),0)+IFERROR(INDEX(Shows!$H$4:$H$23,MATCH($B239,Shows!$A$4:$A$23,0)),0),2))</f>
        <v/>
      </c>
      <c r="Q239" s="38">
        <f>IF($C239="","",$J239+$K239-$P239)</f>
        <v/>
      </c>
      <c r="R239" s="34" t="n"/>
      <c r="S239" s="34" t="n"/>
      <c r="T239" s="34" t="n"/>
    </row>
    <row r="240">
      <c r="A240" s="46" t="n"/>
      <c r="B240" s="40" t="n"/>
      <c r="C240" s="40" t="n"/>
      <c r="D240" s="11">
        <f>IF($C240="","",IFERROR(INDEX(Inventory!$B$4:$B$253,MATCH($C240,Inventory!$A$4:$A$253,0))&amp;" "&amp;INDEX(Inventory!$C$4:$C$253,MATCH($C240,Inventory!$A$4:$A$253,0)),"SKU not in Inventory"))</f>
        <v/>
      </c>
      <c r="E240" s="42" t="n"/>
      <c r="F240" s="41" t="n"/>
      <c r="G240" s="41" t="n"/>
      <c r="H240" s="47">
        <f>IF($C240="","",IFERROR(INDEX(Inventory!$H$4:$H$253,MATCH($C240,Inventory!$A$4:$A$253,0)),0))</f>
        <v/>
      </c>
      <c r="I240" s="40" t="n"/>
      <c r="J240" s="44">
        <f>IF($C240="","",MAX(0,$E240*$F240-$G240))</f>
        <v/>
      </c>
      <c r="K240" s="44">
        <f>IF(OR($C240="",$I240="No"),0,ROUND($J240*IFERROR(INDEX(Shows!$F$4:$F$23,MATCH($B240,Shows!$A$4:$A$23,0)),0),2))</f>
        <v/>
      </c>
      <c r="L240" s="44">
        <f>IF($C240="","",$E240*$H240)</f>
        <v/>
      </c>
      <c r="M240" s="44">
        <f>IF($C240="","",$J240-$L240-$P240)</f>
        <v/>
      </c>
      <c r="N240" s="40" t="n"/>
      <c r="O240" s="40" t="n"/>
      <c r="P240" s="44">
        <f>IF(OR($C240="",$N240&lt;&gt;"Card"),0,ROUND(($J240+$K240)*IFERROR(INDEX(Shows!$G$4:$G$23,MATCH($B240,Shows!$A$4:$A$23,0)),0)+IFERROR(INDEX(Shows!$H$4:$H$23,MATCH($B240,Shows!$A$4:$A$23,0)),0),2))</f>
        <v/>
      </c>
      <c r="Q240" s="44">
        <f>IF($C240="","",$J240+$K240-$P240)</f>
        <v/>
      </c>
      <c r="R240" s="40" t="n"/>
      <c r="S240" s="40" t="n"/>
      <c r="T240" s="40" t="n"/>
    </row>
    <row r="241">
      <c r="A241" s="48" t="n"/>
      <c r="B241" s="34" t="n"/>
      <c r="C241" s="34" t="n"/>
      <c r="D241" s="15">
        <f>IF($C241="","",IFERROR(INDEX(Inventory!$B$4:$B$253,MATCH($C241,Inventory!$A$4:$A$253,0))&amp;" "&amp;INDEX(Inventory!$C$4:$C$253,MATCH($C241,Inventory!$A$4:$A$253,0)),"SKU not in Inventory"))</f>
        <v/>
      </c>
      <c r="E241" s="36" t="n"/>
      <c r="F241" s="35" t="n"/>
      <c r="G241" s="35" t="n"/>
      <c r="H241" s="49">
        <f>IF($C241="","",IFERROR(INDEX(Inventory!$H$4:$H$253,MATCH($C241,Inventory!$A$4:$A$253,0)),0))</f>
        <v/>
      </c>
      <c r="I241" s="34" t="n"/>
      <c r="J241" s="38">
        <f>IF($C241="","",MAX(0,$E241*$F241-$G241))</f>
        <v/>
      </c>
      <c r="K241" s="38">
        <f>IF(OR($C241="",$I241="No"),0,ROUND($J241*IFERROR(INDEX(Shows!$F$4:$F$23,MATCH($B241,Shows!$A$4:$A$23,0)),0),2))</f>
        <v/>
      </c>
      <c r="L241" s="38">
        <f>IF($C241="","",$E241*$H241)</f>
        <v/>
      </c>
      <c r="M241" s="38">
        <f>IF($C241="","",$J241-$L241-$P241)</f>
        <v/>
      </c>
      <c r="N241" s="34" t="n"/>
      <c r="O241" s="34" t="n"/>
      <c r="P241" s="38">
        <f>IF(OR($C241="",$N241&lt;&gt;"Card"),0,ROUND(($J241+$K241)*IFERROR(INDEX(Shows!$G$4:$G$23,MATCH($B241,Shows!$A$4:$A$23,0)),0)+IFERROR(INDEX(Shows!$H$4:$H$23,MATCH($B241,Shows!$A$4:$A$23,0)),0),2))</f>
        <v/>
      </c>
      <c r="Q241" s="38">
        <f>IF($C241="","",$J241+$K241-$P241)</f>
        <v/>
      </c>
      <c r="R241" s="34" t="n"/>
      <c r="S241" s="34" t="n"/>
      <c r="T241" s="34" t="n"/>
    </row>
    <row r="242">
      <c r="A242" s="46" t="n"/>
      <c r="B242" s="40" t="n"/>
      <c r="C242" s="40" t="n"/>
      <c r="D242" s="11">
        <f>IF($C242="","",IFERROR(INDEX(Inventory!$B$4:$B$253,MATCH($C242,Inventory!$A$4:$A$253,0))&amp;" "&amp;INDEX(Inventory!$C$4:$C$253,MATCH($C242,Inventory!$A$4:$A$253,0)),"SKU not in Inventory"))</f>
        <v/>
      </c>
      <c r="E242" s="42" t="n"/>
      <c r="F242" s="41" t="n"/>
      <c r="G242" s="41" t="n"/>
      <c r="H242" s="47">
        <f>IF($C242="","",IFERROR(INDEX(Inventory!$H$4:$H$253,MATCH($C242,Inventory!$A$4:$A$253,0)),0))</f>
        <v/>
      </c>
      <c r="I242" s="40" t="n"/>
      <c r="J242" s="44">
        <f>IF($C242="","",MAX(0,$E242*$F242-$G242))</f>
        <v/>
      </c>
      <c r="K242" s="44">
        <f>IF(OR($C242="",$I242="No"),0,ROUND($J242*IFERROR(INDEX(Shows!$F$4:$F$23,MATCH($B242,Shows!$A$4:$A$23,0)),0),2))</f>
        <v/>
      </c>
      <c r="L242" s="44">
        <f>IF($C242="","",$E242*$H242)</f>
        <v/>
      </c>
      <c r="M242" s="44">
        <f>IF($C242="","",$J242-$L242-$P242)</f>
        <v/>
      </c>
      <c r="N242" s="40" t="n"/>
      <c r="O242" s="40" t="n"/>
      <c r="P242" s="44">
        <f>IF(OR($C242="",$N242&lt;&gt;"Card"),0,ROUND(($J242+$K242)*IFERROR(INDEX(Shows!$G$4:$G$23,MATCH($B242,Shows!$A$4:$A$23,0)),0)+IFERROR(INDEX(Shows!$H$4:$H$23,MATCH($B242,Shows!$A$4:$A$23,0)),0),2))</f>
        <v/>
      </c>
      <c r="Q242" s="44">
        <f>IF($C242="","",$J242+$K242-$P242)</f>
        <v/>
      </c>
      <c r="R242" s="40" t="n"/>
      <c r="S242" s="40" t="n"/>
      <c r="T242" s="40" t="n"/>
    </row>
    <row r="243">
      <c r="A243" s="48" t="n"/>
      <c r="B243" s="34" t="n"/>
      <c r="C243" s="34" t="n"/>
      <c r="D243" s="15">
        <f>IF($C243="","",IFERROR(INDEX(Inventory!$B$4:$B$253,MATCH($C243,Inventory!$A$4:$A$253,0))&amp;" "&amp;INDEX(Inventory!$C$4:$C$253,MATCH($C243,Inventory!$A$4:$A$253,0)),"SKU not in Inventory"))</f>
        <v/>
      </c>
      <c r="E243" s="36" t="n"/>
      <c r="F243" s="35" t="n"/>
      <c r="G243" s="35" t="n"/>
      <c r="H243" s="49">
        <f>IF($C243="","",IFERROR(INDEX(Inventory!$H$4:$H$253,MATCH($C243,Inventory!$A$4:$A$253,0)),0))</f>
        <v/>
      </c>
      <c r="I243" s="34" t="n"/>
      <c r="J243" s="38">
        <f>IF($C243="","",MAX(0,$E243*$F243-$G243))</f>
        <v/>
      </c>
      <c r="K243" s="38">
        <f>IF(OR($C243="",$I243="No"),0,ROUND($J243*IFERROR(INDEX(Shows!$F$4:$F$23,MATCH($B243,Shows!$A$4:$A$23,0)),0),2))</f>
        <v/>
      </c>
      <c r="L243" s="38">
        <f>IF($C243="","",$E243*$H243)</f>
        <v/>
      </c>
      <c r="M243" s="38">
        <f>IF($C243="","",$J243-$L243-$P243)</f>
        <v/>
      </c>
      <c r="N243" s="34" t="n"/>
      <c r="O243" s="34" t="n"/>
      <c r="P243" s="38">
        <f>IF(OR($C243="",$N243&lt;&gt;"Card"),0,ROUND(($J243+$K243)*IFERROR(INDEX(Shows!$G$4:$G$23,MATCH($B243,Shows!$A$4:$A$23,0)),0)+IFERROR(INDEX(Shows!$H$4:$H$23,MATCH($B243,Shows!$A$4:$A$23,0)),0),2))</f>
        <v/>
      </c>
      <c r="Q243" s="38">
        <f>IF($C243="","",$J243+$K243-$P243)</f>
        <v/>
      </c>
      <c r="R243" s="34" t="n"/>
      <c r="S243" s="34" t="n"/>
      <c r="T243" s="34" t="n"/>
    </row>
    <row r="244">
      <c r="A244" s="46" t="n"/>
      <c r="B244" s="40" t="n"/>
      <c r="C244" s="40" t="n"/>
      <c r="D244" s="11">
        <f>IF($C244="","",IFERROR(INDEX(Inventory!$B$4:$B$253,MATCH($C244,Inventory!$A$4:$A$253,0))&amp;" "&amp;INDEX(Inventory!$C$4:$C$253,MATCH($C244,Inventory!$A$4:$A$253,0)),"SKU not in Inventory"))</f>
        <v/>
      </c>
      <c r="E244" s="42" t="n"/>
      <c r="F244" s="41" t="n"/>
      <c r="G244" s="41" t="n"/>
      <c r="H244" s="47">
        <f>IF($C244="","",IFERROR(INDEX(Inventory!$H$4:$H$253,MATCH($C244,Inventory!$A$4:$A$253,0)),0))</f>
        <v/>
      </c>
      <c r="I244" s="40" t="n"/>
      <c r="J244" s="44">
        <f>IF($C244="","",MAX(0,$E244*$F244-$G244))</f>
        <v/>
      </c>
      <c r="K244" s="44">
        <f>IF(OR($C244="",$I244="No"),0,ROUND($J244*IFERROR(INDEX(Shows!$F$4:$F$23,MATCH($B244,Shows!$A$4:$A$23,0)),0),2))</f>
        <v/>
      </c>
      <c r="L244" s="44">
        <f>IF($C244="","",$E244*$H244)</f>
        <v/>
      </c>
      <c r="M244" s="44">
        <f>IF($C244="","",$J244-$L244-$P244)</f>
        <v/>
      </c>
      <c r="N244" s="40" t="n"/>
      <c r="O244" s="40" t="n"/>
      <c r="P244" s="44">
        <f>IF(OR($C244="",$N244&lt;&gt;"Card"),0,ROUND(($J244+$K244)*IFERROR(INDEX(Shows!$G$4:$G$23,MATCH($B244,Shows!$A$4:$A$23,0)),0)+IFERROR(INDEX(Shows!$H$4:$H$23,MATCH($B244,Shows!$A$4:$A$23,0)),0),2))</f>
        <v/>
      </c>
      <c r="Q244" s="44">
        <f>IF($C244="","",$J244+$K244-$P244)</f>
        <v/>
      </c>
      <c r="R244" s="40" t="n"/>
      <c r="S244" s="40" t="n"/>
      <c r="T244" s="40" t="n"/>
    </row>
    <row r="245">
      <c r="A245" s="48" t="n"/>
      <c r="B245" s="34" t="n"/>
      <c r="C245" s="34" t="n"/>
      <c r="D245" s="15">
        <f>IF($C245="","",IFERROR(INDEX(Inventory!$B$4:$B$253,MATCH($C245,Inventory!$A$4:$A$253,0))&amp;" "&amp;INDEX(Inventory!$C$4:$C$253,MATCH($C245,Inventory!$A$4:$A$253,0)),"SKU not in Inventory"))</f>
        <v/>
      </c>
      <c r="E245" s="36" t="n"/>
      <c r="F245" s="35" t="n"/>
      <c r="G245" s="35" t="n"/>
      <c r="H245" s="49">
        <f>IF($C245="","",IFERROR(INDEX(Inventory!$H$4:$H$253,MATCH($C245,Inventory!$A$4:$A$253,0)),0))</f>
        <v/>
      </c>
      <c r="I245" s="34" t="n"/>
      <c r="J245" s="38">
        <f>IF($C245="","",MAX(0,$E245*$F245-$G245))</f>
        <v/>
      </c>
      <c r="K245" s="38">
        <f>IF(OR($C245="",$I245="No"),0,ROUND($J245*IFERROR(INDEX(Shows!$F$4:$F$23,MATCH($B245,Shows!$A$4:$A$23,0)),0),2))</f>
        <v/>
      </c>
      <c r="L245" s="38">
        <f>IF($C245="","",$E245*$H245)</f>
        <v/>
      </c>
      <c r="M245" s="38">
        <f>IF($C245="","",$J245-$L245-$P245)</f>
        <v/>
      </c>
      <c r="N245" s="34" t="n"/>
      <c r="O245" s="34" t="n"/>
      <c r="P245" s="38">
        <f>IF(OR($C245="",$N245&lt;&gt;"Card"),0,ROUND(($J245+$K245)*IFERROR(INDEX(Shows!$G$4:$G$23,MATCH($B245,Shows!$A$4:$A$23,0)),0)+IFERROR(INDEX(Shows!$H$4:$H$23,MATCH($B245,Shows!$A$4:$A$23,0)),0),2))</f>
        <v/>
      </c>
      <c r="Q245" s="38">
        <f>IF($C245="","",$J245+$K245-$P245)</f>
        <v/>
      </c>
      <c r="R245" s="34" t="n"/>
      <c r="S245" s="34" t="n"/>
      <c r="T245" s="34" t="n"/>
    </row>
    <row r="246">
      <c r="A246" s="46" t="n"/>
      <c r="B246" s="40" t="n"/>
      <c r="C246" s="40" t="n"/>
      <c r="D246" s="11">
        <f>IF($C246="","",IFERROR(INDEX(Inventory!$B$4:$B$253,MATCH($C246,Inventory!$A$4:$A$253,0))&amp;" "&amp;INDEX(Inventory!$C$4:$C$253,MATCH($C246,Inventory!$A$4:$A$253,0)),"SKU not in Inventory"))</f>
        <v/>
      </c>
      <c r="E246" s="42" t="n"/>
      <c r="F246" s="41" t="n"/>
      <c r="G246" s="41" t="n"/>
      <c r="H246" s="47">
        <f>IF($C246="","",IFERROR(INDEX(Inventory!$H$4:$H$253,MATCH($C246,Inventory!$A$4:$A$253,0)),0))</f>
        <v/>
      </c>
      <c r="I246" s="40" t="n"/>
      <c r="J246" s="44">
        <f>IF($C246="","",MAX(0,$E246*$F246-$G246))</f>
        <v/>
      </c>
      <c r="K246" s="44">
        <f>IF(OR($C246="",$I246="No"),0,ROUND($J246*IFERROR(INDEX(Shows!$F$4:$F$23,MATCH($B246,Shows!$A$4:$A$23,0)),0),2))</f>
        <v/>
      </c>
      <c r="L246" s="44">
        <f>IF($C246="","",$E246*$H246)</f>
        <v/>
      </c>
      <c r="M246" s="44">
        <f>IF($C246="","",$J246-$L246-$P246)</f>
        <v/>
      </c>
      <c r="N246" s="40" t="n"/>
      <c r="O246" s="40" t="n"/>
      <c r="P246" s="44">
        <f>IF(OR($C246="",$N246&lt;&gt;"Card"),0,ROUND(($J246+$K246)*IFERROR(INDEX(Shows!$G$4:$G$23,MATCH($B246,Shows!$A$4:$A$23,0)),0)+IFERROR(INDEX(Shows!$H$4:$H$23,MATCH($B246,Shows!$A$4:$A$23,0)),0),2))</f>
        <v/>
      </c>
      <c r="Q246" s="44">
        <f>IF($C246="","",$J246+$K246-$P246)</f>
        <v/>
      </c>
      <c r="R246" s="40" t="n"/>
      <c r="S246" s="40" t="n"/>
      <c r="T246" s="40" t="n"/>
    </row>
    <row r="247">
      <c r="A247" s="48" t="n"/>
      <c r="B247" s="34" t="n"/>
      <c r="C247" s="34" t="n"/>
      <c r="D247" s="15">
        <f>IF($C247="","",IFERROR(INDEX(Inventory!$B$4:$B$253,MATCH($C247,Inventory!$A$4:$A$253,0))&amp;" "&amp;INDEX(Inventory!$C$4:$C$253,MATCH($C247,Inventory!$A$4:$A$253,0)),"SKU not in Inventory"))</f>
        <v/>
      </c>
      <c r="E247" s="36" t="n"/>
      <c r="F247" s="35" t="n"/>
      <c r="G247" s="35" t="n"/>
      <c r="H247" s="49">
        <f>IF($C247="","",IFERROR(INDEX(Inventory!$H$4:$H$253,MATCH($C247,Inventory!$A$4:$A$253,0)),0))</f>
        <v/>
      </c>
      <c r="I247" s="34" t="n"/>
      <c r="J247" s="38">
        <f>IF($C247="","",MAX(0,$E247*$F247-$G247))</f>
        <v/>
      </c>
      <c r="K247" s="38">
        <f>IF(OR($C247="",$I247="No"),0,ROUND($J247*IFERROR(INDEX(Shows!$F$4:$F$23,MATCH($B247,Shows!$A$4:$A$23,0)),0),2))</f>
        <v/>
      </c>
      <c r="L247" s="38">
        <f>IF($C247="","",$E247*$H247)</f>
        <v/>
      </c>
      <c r="M247" s="38">
        <f>IF($C247="","",$J247-$L247-$P247)</f>
        <v/>
      </c>
      <c r="N247" s="34" t="n"/>
      <c r="O247" s="34" t="n"/>
      <c r="P247" s="38">
        <f>IF(OR($C247="",$N247&lt;&gt;"Card"),0,ROUND(($J247+$K247)*IFERROR(INDEX(Shows!$G$4:$G$23,MATCH($B247,Shows!$A$4:$A$23,0)),0)+IFERROR(INDEX(Shows!$H$4:$H$23,MATCH($B247,Shows!$A$4:$A$23,0)),0),2))</f>
        <v/>
      </c>
      <c r="Q247" s="38">
        <f>IF($C247="","",$J247+$K247-$P247)</f>
        <v/>
      </c>
      <c r="R247" s="34" t="n"/>
      <c r="S247" s="34" t="n"/>
      <c r="T247" s="34" t="n"/>
    </row>
    <row r="248">
      <c r="A248" s="46" t="n"/>
      <c r="B248" s="40" t="n"/>
      <c r="C248" s="40" t="n"/>
      <c r="D248" s="11">
        <f>IF($C248="","",IFERROR(INDEX(Inventory!$B$4:$B$253,MATCH($C248,Inventory!$A$4:$A$253,0))&amp;" "&amp;INDEX(Inventory!$C$4:$C$253,MATCH($C248,Inventory!$A$4:$A$253,0)),"SKU not in Inventory"))</f>
        <v/>
      </c>
      <c r="E248" s="42" t="n"/>
      <c r="F248" s="41" t="n"/>
      <c r="G248" s="41" t="n"/>
      <c r="H248" s="47">
        <f>IF($C248="","",IFERROR(INDEX(Inventory!$H$4:$H$253,MATCH($C248,Inventory!$A$4:$A$253,0)),0))</f>
        <v/>
      </c>
      <c r="I248" s="40" t="n"/>
      <c r="J248" s="44">
        <f>IF($C248="","",MAX(0,$E248*$F248-$G248))</f>
        <v/>
      </c>
      <c r="K248" s="44">
        <f>IF(OR($C248="",$I248="No"),0,ROUND($J248*IFERROR(INDEX(Shows!$F$4:$F$23,MATCH($B248,Shows!$A$4:$A$23,0)),0),2))</f>
        <v/>
      </c>
      <c r="L248" s="44">
        <f>IF($C248="","",$E248*$H248)</f>
        <v/>
      </c>
      <c r="M248" s="44">
        <f>IF($C248="","",$J248-$L248-$P248)</f>
        <v/>
      </c>
      <c r="N248" s="40" t="n"/>
      <c r="O248" s="40" t="n"/>
      <c r="P248" s="44">
        <f>IF(OR($C248="",$N248&lt;&gt;"Card"),0,ROUND(($J248+$K248)*IFERROR(INDEX(Shows!$G$4:$G$23,MATCH($B248,Shows!$A$4:$A$23,0)),0)+IFERROR(INDEX(Shows!$H$4:$H$23,MATCH($B248,Shows!$A$4:$A$23,0)),0),2))</f>
        <v/>
      </c>
      <c r="Q248" s="44">
        <f>IF($C248="","",$J248+$K248-$P248)</f>
        <v/>
      </c>
      <c r="R248" s="40" t="n"/>
      <c r="S248" s="40" t="n"/>
      <c r="T248" s="40" t="n"/>
    </row>
    <row r="249">
      <c r="A249" s="48" t="n"/>
      <c r="B249" s="34" t="n"/>
      <c r="C249" s="34" t="n"/>
      <c r="D249" s="15">
        <f>IF($C249="","",IFERROR(INDEX(Inventory!$B$4:$B$253,MATCH($C249,Inventory!$A$4:$A$253,0))&amp;" "&amp;INDEX(Inventory!$C$4:$C$253,MATCH($C249,Inventory!$A$4:$A$253,0)),"SKU not in Inventory"))</f>
        <v/>
      </c>
      <c r="E249" s="36" t="n"/>
      <c r="F249" s="35" t="n"/>
      <c r="G249" s="35" t="n"/>
      <c r="H249" s="49">
        <f>IF($C249="","",IFERROR(INDEX(Inventory!$H$4:$H$253,MATCH($C249,Inventory!$A$4:$A$253,0)),0))</f>
        <v/>
      </c>
      <c r="I249" s="34" t="n"/>
      <c r="J249" s="38">
        <f>IF($C249="","",MAX(0,$E249*$F249-$G249))</f>
        <v/>
      </c>
      <c r="K249" s="38">
        <f>IF(OR($C249="",$I249="No"),0,ROUND($J249*IFERROR(INDEX(Shows!$F$4:$F$23,MATCH($B249,Shows!$A$4:$A$23,0)),0),2))</f>
        <v/>
      </c>
      <c r="L249" s="38">
        <f>IF($C249="","",$E249*$H249)</f>
        <v/>
      </c>
      <c r="M249" s="38">
        <f>IF($C249="","",$J249-$L249-$P249)</f>
        <v/>
      </c>
      <c r="N249" s="34" t="n"/>
      <c r="O249" s="34" t="n"/>
      <c r="P249" s="38">
        <f>IF(OR($C249="",$N249&lt;&gt;"Card"),0,ROUND(($J249+$K249)*IFERROR(INDEX(Shows!$G$4:$G$23,MATCH($B249,Shows!$A$4:$A$23,0)),0)+IFERROR(INDEX(Shows!$H$4:$H$23,MATCH($B249,Shows!$A$4:$A$23,0)),0),2))</f>
        <v/>
      </c>
      <c r="Q249" s="38">
        <f>IF($C249="","",$J249+$K249-$P249)</f>
        <v/>
      </c>
      <c r="R249" s="34" t="n"/>
      <c r="S249" s="34" t="n"/>
      <c r="T249" s="34" t="n"/>
    </row>
    <row r="250">
      <c r="A250" s="46" t="n"/>
      <c r="B250" s="40" t="n"/>
      <c r="C250" s="40" t="n"/>
      <c r="D250" s="11">
        <f>IF($C250="","",IFERROR(INDEX(Inventory!$B$4:$B$253,MATCH($C250,Inventory!$A$4:$A$253,0))&amp;" "&amp;INDEX(Inventory!$C$4:$C$253,MATCH($C250,Inventory!$A$4:$A$253,0)),"SKU not in Inventory"))</f>
        <v/>
      </c>
      <c r="E250" s="42" t="n"/>
      <c r="F250" s="41" t="n"/>
      <c r="G250" s="41" t="n"/>
      <c r="H250" s="47">
        <f>IF($C250="","",IFERROR(INDEX(Inventory!$H$4:$H$253,MATCH($C250,Inventory!$A$4:$A$253,0)),0))</f>
        <v/>
      </c>
      <c r="I250" s="40" t="n"/>
      <c r="J250" s="44">
        <f>IF($C250="","",MAX(0,$E250*$F250-$G250))</f>
        <v/>
      </c>
      <c r="K250" s="44">
        <f>IF(OR($C250="",$I250="No"),0,ROUND($J250*IFERROR(INDEX(Shows!$F$4:$F$23,MATCH($B250,Shows!$A$4:$A$23,0)),0),2))</f>
        <v/>
      </c>
      <c r="L250" s="44">
        <f>IF($C250="","",$E250*$H250)</f>
        <v/>
      </c>
      <c r="M250" s="44">
        <f>IF($C250="","",$J250-$L250-$P250)</f>
        <v/>
      </c>
      <c r="N250" s="40" t="n"/>
      <c r="O250" s="40" t="n"/>
      <c r="P250" s="44">
        <f>IF(OR($C250="",$N250&lt;&gt;"Card"),0,ROUND(($J250+$K250)*IFERROR(INDEX(Shows!$G$4:$G$23,MATCH($B250,Shows!$A$4:$A$23,0)),0)+IFERROR(INDEX(Shows!$H$4:$H$23,MATCH($B250,Shows!$A$4:$A$23,0)),0),2))</f>
        <v/>
      </c>
      <c r="Q250" s="44">
        <f>IF($C250="","",$J250+$K250-$P250)</f>
        <v/>
      </c>
      <c r="R250" s="40" t="n"/>
      <c r="S250" s="40" t="n"/>
      <c r="T250" s="40" t="n"/>
    </row>
    <row r="251">
      <c r="A251" s="48" t="n"/>
      <c r="B251" s="34" t="n"/>
      <c r="C251" s="34" t="n"/>
      <c r="D251" s="15">
        <f>IF($C251="","",IFERROR(INDEX(Inventory!$B$4:$B$253,MATCH($C251,Inventory!$A$4:$A$253,0))&amp;" "&amp;INDEX(Inventory!$C$4:$C$253,MATCH($C251,Inventory!$A$4:$A$253,0)),"SKU not in Inventory"))</f>
        <v/>
      </c>
      <c r="E251" s="36" t="n"/>
      <c r="F251" s="35" t="n"/>
      <c r="G251" s="35" t="n"/>
      <c r="H251" s="49">
        <f>IF($C251="","",IFERROR(INDEX(Inventory!$H$4:$H$253,MATCH($C251,Inventory!$A$4:$A$253,0)),0))</f>
        <v/>
      </c>
      <c r="I251" s="34" t="n"/>
      <c r="J251" s="38">
        <f>IF($C251="","",MAX(0,$E251*$F251-$G251))</f>
        <v/>
      </c>
      <c r="K251" s="38">
        <f>IF(OR($C251="",$I251="No"),0,ROUND($J251*IFERROR(INDEX(Shows!$F$4:$F$23,MATCH($B251,Shows!$A$4:$A$23,0)),0),2))</f>
        <v/>
      </c>
      <c r="L251" s="38">
        <f>IF($C251="","",$E251*$H251)</f>
        <v/>
      </c>
      <c r="M251" s="38">
        <f>IF($C251="","",$J251-$L251-$P251)</f>
        <v/>
      </c>
      <c r="N251" s="34" t="n"/>
      <c r="O251" s="34" t="n"/>
      <c r="P251" s="38">
        <f>IF(OR($C251="",$N251&lt;&gt;"Card"),0,ROUND(($J251+$K251)*IFERROR(INDEX(Shows!$G$4:$G$23,MATCH($B251,Shows!$A$4:$A$23,0)),0)+IFERROR(INDEX(Shows!$H$4:$H$23,MATCH($B251,Shows!$A$4:$A$23,0)),0),2))</f>
        <v/>
      </c>
      <c r="Q251" s="38">
        <f>IF($C251="","",$J251+$K251-$P251)</f>
        <v/>
      </c>
      <c r="R251" s="34" t="n"/>
      <c r="S251" s="34" t="n"/>
      <c r="T251" s="34" t="n"/>
    </row>
    <row r="252">
      <c r="A252" s="46" t="n"/>
      <c r="B252" s="40" t="n"/>
      <c r="C252" s="40" t="n"/>
      <c r="D252" s="11">
        <f>IF($C252="","",IFERROR(INDEX(Inventory!$B$4:$B$253,MATCH($C252,Inventory!$A$4:$A$253,0))&amp;" "&amp;INDEX(Inventory!$C$4:$C$253,MATCH($C252,Inventory!$A$4:$A$253,0)),"SKU not in Inventory"))</f>
        <v/>
      </c>
      <c r="E252" s="42" t="n"/>
      <c r="F252" s="41" t="n"/>
      <c r="G252" s="41" t="n"/>
      <c r="H252" s="47">
        <f>IF($C252="","",IFERROR(INDEX(Inventory!$H$4:$H$253,MATCH($C252,Inventory!$A$4:$A$253,0)),0))</f>
        <v/>
      </c>
      <c r="I252" s="40" t="n"/>
      <c r="J252" s="44">
        <f>IF($C252="","",MAX(0,$E252*$F252-$G252))</f>
        <v/>
      </c>
      <c r="K252" s="44">
        <f>IF(OR($C252="",$I252="No"),0,ROUND($J252*IFERROR(INDEX(Shows!$F$4:$F$23,MATCH($B252,Shows!$A$4:$A$23,0)),0),2))</f>
        <v/>
      </c>
      <c r="L252" s="44">
        <f>IF($C252="","",$E252*$H252)</f>
        <v/>
      </c>
      <c r="M252" s="44">
        <f>IF($C252="","",$J252-$L252-$P252)</f>
        <v/>
      </c>
      <c r="N252" s="40" t="n"/>
      <c r="O252" s="40" t="n"/>
      <c r="P252" s="44">
        <f>IF(OR($C252="",$N252&lt;&gt;"Card"),0,ROUND(($J252+$K252)*IFERROR(INDEX(Shows!$G$4:$G$23,MATCH($B252,Shows!$A$4:$A$23,0)),0)+IFERROR(INDEX(Shows!$H$4:$H$23,MATCH($B252,Shows!$A$4:$A$23,0)),0),2))</f>
        <v/>
      </c>
      <c r="Q252" s="44">
        <f>IF($C252="","",$J252+$K252-$P252)</f>
        <v/>
      </c>
      <c r="R252" s="40" t="n"/>
      <c r="S252" s="40" t="n"/>
      <c r="T252" s="40" t="n"/>
    </row>
    <row r="253">
      <c r="A253" s="48" t="n"/>
      <c r="B253" s="34" t="n"/>
      <c r="C253" s="34" t="n"/>
      <c r="D253" s="15">
        <f>IF($C253="","",IFERROR(INDEX(Inventory!$B$4:$B$253,MATCH($C253,Inventory!$A$4:$A$253,0))&amp;" "&amp;INDEX(Inventory!$C$4:$C$253,MATCH($C253,Inventory!$A$4:$A$253,0)),"SKU not in Inventory"))</f>
        <v/>
      </c>
      <c r="E253" s="36" t="n"/>
      <c r="F253" s="35" t="n"/>
      <c r="G253" s="35" t="n"/>
      <c r="H253" s="49">
        <f>IF($C253="","",IFERROR(INDEX(Inventory!$H$4:$H$253,MATCH($C253,Inventory!$A$4:$A$253,0)),0))</f>
        <v/>
      </c>
      <c r="I253" s="34" t="n"/>
      <c r="J253" s="38">
        <f>IF($C253="","",MAX(0,$E253*$F253-$G253))</f>
        <v/>
      </c>
      <c r="K253" s="38">
        <f>IF(OR($C253="",$I253="No"),0,ROUND($J253*IFERROR(INDEX(Shows!$F$4:$F$23,MATCH($B253,Shows!$A$4:$A$23,0)),0),2))</f>
        <v/>
      </c>
      <c r="L253" s="38">
        <f>IF($C253="","",$E253*$H253)</f>
        <v/>
      </c>
      <c r="M253" s="38">
        <f>IF($C253="","",$J253-$L253-$P253)</f>
        <v/>
      </c>
      <c r="N253" s="34" t="n"/>
      <c r="O253" s="34" t="n"/>
      <c r="P253" s="38">
        <f>IF(OR($C253="",$N253&lt;&gt;"Card"),0,ROUND(($J253+$K253)*IFERROR(INDEX(Shows!$G$4:$G$23,MATCH($B253,Shows!$A$4:$A$23,0)),0)+IFERROR(INDEX(Shows!$H$4:$H$23,MATCH($B253,Shows!$A$4:$A$23,0)),0),2))</f>
        <v/>
      </c>
      <c r="Q253" s="38">
        <f>IF($C253="","",$J253+$K253-$P253)</f>
        <v/>
      </c>
      <c r="R253" s="34" t="n"/>
      <c r="S253" s="34" t="n"/>
      <c r="T253" s="34" t="n"/>
    </row>
    <row r="254">
      <c r="A254" s="46" t="n"/>
      <c r="B254" s="40" t="n"/>
      <c r="C254" s="40" t="n"/>
      <c r="D254" s="11">
        <f>IF($C254="","",IFERROR(INDEX(Inventory!$B$4:$B$253,MATCH($C254,Inventory!$A$4:$A$253,0))&amp;" "&amp;INDEX(Inventory!$C$4:$C$253,MATCH($C254,Inventory!$A$4:$A$253,0)),"SKU not in Inventory"))</f>
        <v/>
      </c>
      <c r="E254" s="42" t="n"/>
      <c r="F254" s="41" t="n"/>
      <c r="G254" s="41" t="n"/>
      <c r="H254" s="47">
        <f>IF($C254="","",IFERROR(INDEX(Inventory!$H$4:$H$253,MATCH($C254,Inventory!$A$4:$A$253,0)),0))</f>
        <v/>
      </c>
      <c r="I254" s="40" t="n"/>
      <c r="J254" s="44">
        <f>IF($C254="","",MAX(0,$E254*$F254-$G254))</f>
        <v/>
      </c>
      <c r="K254" s="44">
        <f>IF(OR($C254="",$I254="No"),0,ROUND($J254*IFERROR(INDEX(Shows!$F$4:$F$23,MATCH($B254,Shows!$A$4:$A$23,0)),0),2))</f>
        <v/>
      </c>
      <c r="L254" s="44">
        <f>IF($C254="","",$E254*$H254)</f>
        <v/>
      </c>
      <c r="M254" s="44">
        <f>IF($C254="","",$J254-$L254-$P254)</f>
        <v/>
      </c>
      <c r="N254" s="40" t="n"/>
      <c r="O254" s="40" t="n"/>
      <c r="P254" s="44">
        <f>IF(OR($C254="",$N254&lt;&gt;"Card"),0,ROUND(($J254+$K254)*IFERROR(INDEX(Shows!$G$4:$G$23,MATCH($B254,Shows!$A$4:$A$23,0)),0)+IFERROR(INDEX(Shows!$H$4:$H$23,MATCH($B254,Shows!$A$4:$A$23,0)),0),2))</f>
        <v/>
      </c>
      <c r="Q254" s="44">
        <f>IF($C254="","",$J254+$K254-$P254)</f>
        <v/>
      </c>
      <c r="R254" s="40" t="n"/>
      <c r="S254" s="40" t="n"/>
      <c r="T254" s="40" t="n"/>
    </row>
    <row r="255">
      <c r="A255" s="48" t="n"/>
      <c r="B255" s="34" t="n"/>
      <c r="C255" s="34" t="n"/>
      <c r="D255" s="15">
        <f>IF($C255="","",IFERROR(INDEX(Inventory!$B$4:$B$253,MATCH($C255,Inventory!$A$4:$A$253,0))&amp;" "&amp;INDEX(Inventory!$C$4:$C$253,MATCH($C255,Inventory!$A$4:$A$253,0)),"SKU not in Inventory"))</f>
        <v/>
      </c>
      <c r="E255" s="36" t="n"/>
      <c r="F255" s="35" t="n"/>
      <c r="G255" s="35" t="n"/>
      <c r="H255" s="49">
        <f>IF($C255="","",IFERROR(INDEX(Inventory!$H$4:$H$253,MATCH($C255,Inventory!$A$4:$A$253,0)),0))</f>
        <v/>
      </c>
      <c r="I255" s="34" t="n"/>
      <c r="J255" s="38">
        <f>IF($C255="","",MAX(0,$E255*$F255-$G255))</f>
        <v/>
      </c>
      <c r="K255" s="38">
        <f>IF(OR($C255="",$I255="No"),0,ROUND($J255*IFERROR(INDEX(Shows!$F$4:$F$23,MATCH($B255,Shows!$A$4:$A$23,0)),0),2))</f>
        <v/>
      </c>
      <c r="L255" s="38">
        <f>IF($C255="","",$E255*$H255)</f>
        <v/>
      </c>
      <c r="M255" s="38">
        <f>IF($C255="","",$J255-$L255-$P255)</f>
        <v/>
      </c>
      <c r="N255" s="34" t="n"/>
      <c r="O255" s="34" t="n"/>
      <c r="P255" s="38">
        <f>IF(OR($C255="",$N255&lt;&gt;"Card"),0,ROUND(($J255+$K255)*IFERROR(INDEX(Shows!$G$4:$G$23,MATCH($B255,Shows!$A$4:$A$23,0)),0)+IFERROR(INDEX(Shows!$H$4:$H$23,MATCH($B255,Shows!$A$4:$A$23,0)),0),2))</f>
        <v/>
      </c>
      <c r="Q255" s="38">
        <f>IF($C255="","",$J255+$K255-$P255)</f>
        <v/>
      </c>
      <c r="R255" s="34" t="n"/>
      <c r="S255" s="34" t="n"/>
      <c r="T255" s="34" t="n"/>
    </row>
    <row r="256">
      <c r="A256" s="46" t="n"/>
      <c r="B256" s="40" t="n"/>
      <c r="C256" s="40" t="n"/>
      <c r="D256" s="11">
        <f>IF($C256="","",IFERROR(INDEX(Inventory!$B$4:$B$253,MATCH($C256,Inventory!$A$4:$A$253,0))&amp;" "&amp;INDEX(Inventory!$C$4:$C$253,MATCH($C256,Inventory!$A$4:$A$253,0)),"SKU not in Inventory"))</f>
        <v/>
      </c>
      <c r="E256" s="42" t="n"/>
      <c r="F256" s="41" t="n"/>
      <c r="G256" s="41" t="n"/>
      <c r="H256" s="47">
        <f>IF($C256="","",IFERROR(INDEX(Inventory!$H$4:$H$253,MATCH($C256,Inventory!$A$4:$A$253,0)),0))</f>
        <v/>
      </c>
      <c r="I256" s="40" t="n"/>
      <c r="J256" s="44">
        <f>IF($C256="","",MAX(0,$E256*$F256-$G256))</f>
        <v/>
      </c>
      <c r="K256" s="44">
        <f>IF(OR($C256="",$I256="No"),0,ROUND($J256*IFERROR(INDEX(Shows!$F$4:$F$23,MATCH($B256,Shows!$A$4:$A$23,0)),0),2))</f>
        <v/>
      </c>
      <c r="L256" s="44">
        <f>IF($C256="","",$E256*$H256)</f>
        <v/>
      </c>
      <c r="M256" s="44">
        <f>IF($C256="","",$J256-$L256-$P256)</f>
        <v/>
      </c>
      <c r="N256" s="40" t="n"/>
      <c r="O256" s="40" t="n"/>
      <c r="P256" s="44">
        <f>IF(OR($C256="",$N256&lt;&gt;"Card"),0,ROUND(($J256+$K256)*IFERROR(INDEX(Shows!$G$4:$G$23,MATCH($B256,Shows!$A$4:$A$23,0)),0)+IFERROR(INDEX(Shows!$H$4:$H$23,MATCH($B256,Shows!$A$4:$A$23,0)),0),2))</f>
        <v/>
      </c>
      <c r="Q256" s="44">
        <f>IF($C256="","",$J256+$K256-$P256)</f>
        <v/>
      </c>
      <c r="R256" s="40" t="n"/>
      <c r="S256" s="40" t="n"/>
      <c r="T256" s="40" t="n"/>
    </row>
    <row r="257">
      <c r="A257" s="48" t="n"/>
      <c r="B257" s="34" t="n"/>
      <c r="C257" s="34" t="n"/>
      <c r="D257" s="15">
        <f>IF($C257="","",IFERROR(INDEX(Inventory!$B$4:$B$253,MATCH($C257,Inventory!$A$4:$A$253,0))&amp;" "&amp;INDEX(Inventory!$C$4:$C$253,MATCH($C257,Inventory!$A$4:$A$253,0)),"SKU not in Inventory"))</f>
        <v/>
      </c>
      <c r="E257" s="36" t="n"/>
      <c r="F257" s="35" t="n"/>
      <c r="G257" s="35" t="n"/>
      <c r="H257" s="49">
        <f>IF($C257="","",IFERROR(INDEX(Inventory!$H$4:$H$253,MATCH($C257,Inventory!$A$4:$A$253,0)),0))</f>
        <v/>
      </c>
      <c r="I257" s="34" t="n"/>
      <c r="J257" s="38">
        <f>IF($C257="","",MAX(0,$E257*$F257-$G257))</f>
        <v/>
      </c>
      <c r="K257" s="38">
        <f>IF(OR($C257="",$I257="No"),0,ROUND($J257*IFERROR(INDEX(Shows!$F$4:$F$23,MATCH($B257,Shows!$A$4:$A$23,0)),0),2))</f>
        <v/>
      </c>
      <c r="L257" s="38">
        <f>IF($C257="","",$E257*$H257)</f>
        <v/>
      </c>
      <c r="M257" s="38">
        <f>IF($C257="","",$J257-$L257-$P257)</f>
        <v/>
      </c>
      <c r="N257" s="34" t="n"/>
      <c r="O257" s="34" t="n"/>
      <c r="P257" s="38">
        <f>IF(OR($C257="",$N257&lt;&gt;"Card"),0,ROUND(($J257+$K257)*IFERROR(INDEX(Shows!$G$4:$G$23,MATCH($B257,Shows!$A$4:$A$23,0)),0)+IFERROR(INDEX(Shows!$H$4:$H$23,MATCH($B257,Shows!$A$4:$A$23,0)),0),2))</f>
        <v/>
      </c>
      <c r="Q257" s="38">
        <f>IF($C257="","",$J257+$K257-$P257)</f>
        <v/>
      </c>
      <c r="R257" s="34" t="n"/>
      <c r="S257" s="34" t="n"/>
      <c r="T257" s="34" t="n"/>
    </row>
    <row r="258">
      <c r="A258" s="46" t="n"/>
      <c r="B258" s="40" t="n"/>
      <c r="C258" s="40" t="n"/>
      <c r="D258" s="11">
        <f>IF($C258="","",IFERROR(INDEX(Inventory!$B$4:$B$253,MATCH($C258,Inventory!$A$4:$A$253,0))&amp;" "&amp;INDEX(Inventory!$C$4:$C$253,MATCH($C258,Inventory!$A$4:$A$253,0)),"SKU not in Inventory"))</f>
        <v/>
      </c>
      <c r="E258" s="42" t="n"/>
      <c r="F258" s="41" t="n"/>
      <c r="G258" s="41" t="n"/>
      <c r="H258" s="47">
        <f>IF($C258="","",IFERROR(INDEX(Inventory!$H$4:$H$253,MATCH($C258,Inventory!$A$4:$A$253,0)),0))</f>
        <v/>
      </c>
      <c r="I258" s="40" t="n"/>
      <c r="J258" s="44">
        <f>IF($C258="","",MAX(0,$E258*$F258-$G258))</f>
        <v/>
      </c>
      <c r="K258" s="44">
        <f>IF(OR($C258="",$I258="No"),0,ROUND($J258*IFERROR(INDEX(Shows!$F$4:$F$23,MATCH($B258,Shows!$A$4:$A$23,0)),0),2))</f>
        <v/>
      </c>
      <c r="L258" s="44">
        <f>IF($C258="","",$E258*$H258)</f>
        <v/>
      </c>
      <c r="M258" s="44">
        <f>IF($C258="","",$J258-$L258-$P258)</f>
        <v/>
      </c>
      <c r="N258" s="40" t="n"/>
      <c r="O258" s="40" t="n"/>
      <c r="P258" s="44">
        <f>IF(OR($C258="",$N258&lt;&gt;"Card"),0,ROUND(($J258+$K258)*IFERROR(INDEX(Shows!$G$4:$G$23,MATCH($B258,Shows!$A$4:$A$23,0)),0)+IFERROR(INDEX(Shows!$H$4:$H$23,MATCH($B258,Shows!$A$4:$A$23,0)),0),2))</f>
        <v/>
      </c>
      <c r="Q258" s="44">
        <f>IF($C258="","",$J258+$K258-$P258)</f>
        <v/>
      </c>
      <c r="R258" s="40" t="n"/>
      <c r="S258" s="40" t="n"/>
      <c r="T258" s="40" t="n"/>
    </row>
    <row r="259">
      <c r="A259" s="48" t="n"/>
      <c r="B259" s="34" t="n"/>
      <c r="C259" s="34" t="n"/>
      <c r="D259" s="15">
        <f>IF($C259="","",IFERROR(INDEX(Inventory!$B$4:$B$253,MATCH($C259,Inventory!$A$4:$A$253,0))&amp;" "&amp;INDEX(Inventory!$C$4:$C$253,MATCH($C259,Inventory!$A$4:$A$253,0)),"SKU not in Inventory"))</f>
        <v/>
      </c>
      <c r="E259" s="36" t="n"/>
      <c r="F259" s="35" t="n"/>
      <c r="G259" s="35" t="n"/>
      <c r="H259" s="49">
        <f>IF($C259="","",IFERROR(INDEX(Inventory!$H$4:$H$253,MATCH($C259,Inventory!$A$4:$A$253,0)),0))</f>
        <v/>
      </c>
      <c r="I259" s="34" t="n"/>
      <c r="J259" s="38">
        <f>IF($C259="","",MAX(0,$E259*$F259-$G259))</f>
        <v/>
      </c>
      <c r="K259" s="38">
        <f>IF(OR($C259="",$I259="No"),0,ROUND($J259*IFERROR(INDEX(Shows!$F$4:$F$23,MATCH($B259,Shows!$A$4:$A$23,0)),0),2))</f>
        <v/>
      </c>
      <c r="L259" s="38">
        <f>IF($C259="","",$E259*$H259)</f>
        <v/>
      </c>
      <c r="M259" s="38">
        <f>IF($C259="","",$J259-$L259-$P259)</f>
        <v/>
      </c>
      <c r="N259" s="34" t="n"/>
      <c r="O259" s="34" t="n"/>
      <c r="P259" s="38">
        <f>IF(OR($C259="",$N259&lt;&gt;"Card"),0,ROUND(($J259+$K259)*IFERROR(INDEX(Shows!$G$4:$G$23,MATCH($B259,Shows!$A$4:$A$23,0)),0)+IFERROR(INDEX(Shows!$H$4:$H$23,MATCH($B259,Shows!$A$4:$A$23,0)),0),2))</f>
        <v/>
      </c>
      <c r="Q259" s="38">
        <f>IF($C259="","",$J259+$K259-$P259)</f>
        <v/>
      </c>
      <c r="R259" s="34" t="n"/>
      <c r="S259" s="34" t="n"/>
      <c r="T259" s="34" t="n"/>
    </row>
    <row r="260">
      <c r="A260" s="46" t="n"/>
      <c r="B260" s="40" t="n"/>
      <c r="C260" s="40" t="n"/>
      <c r="D260" s="11">
        <f>IF($C260="","",IFERROR(INDEX(Inventory!$B$4:$B$253,MATCH($C260,Inventory!$A$4:$A$253,0))&amp;" "&amp;INDEX(Inventory!$C$4:$C$253,MATCH($C260,Inventory!$A$4:$A$253,0)),"SKU not in Inventory"))</f>
        <v/>
      </c>
      <c r="E260" s="42" t="n"/>
      <c r="F260" s="41" t="n"/>
      <c r="G260" s="41" t="n"/>
      <c r="H260" s="47">
        <f>IF($C260="","",IFERROR(INDEX(Inventory!$H$4:$H$253,MATCH($C260,Inventory!$A$4:$A$253,0)),0))</f>
        <v/>
      </c>
      <c r="I260" s="40" t="n"/>
      <c r="J260" s="44">
        <f>IF($C260="","",MAX(0,$E260*$F260-$G260))</f>
        <v/>
      </c>
      <c r="K260" s="44">
        <f>IF(OR($C260="",$I260="No"),0,ROUND($J260*IFERROR(INDEX(Shows!$F$4:$F$23,MATCH($B260,Shows!$A$4:$A$23,0)),0),2))</f>
        <v/>
      </c>
      <c r="L260" s="44">
        <f>IF($C260="","",$E260*$H260)</f>
        <v/>
      </c>
      <c r="M260" s="44">
        <f>IF($C260="","",$J260-$L260-$P260)</f>
        <v/>
      </c>
      <c r="N260" s="40" t="n"/>
      <c r="O260" s="40" t="n"/>
      <c r="P260" s="44">
        <f>IF(OR($C260="",$N260&lt;&gt;"Card"),0,ROUND(($J260+$K260)*IFERROR(INDEX(Shows!$G$4:$G$23,MATCH($B260,Shows!$A$4:$A$23,0)),0)+IFERROR(INDEX(Shows!$H$4:$H$23,MATCH($B260,Shows!$A$4:$A$23,0)),0),2))</f>
        <v/>
      </c>
      <c r="Q260" s="44">
        <f>IF($C260="","",$J260+$K260-$P260)</f>
        <v/>
      </c>
      <c r="R260" s="40" t="n"/>
      <c r="S260" s="40" t="n"/>
      <c r="T260" s="40" t="n"/>
    </row>
    <row r="261">
      <c r="A261" s="48" t="n"/>
      <c r="B261" s="34" t="n"/>
      <c r="C261" s="34" t="n"/>
      <c r="D261" s="15">
        <f>IF($C261="","",IFERROR(INDEX(Inventory!$B$4:$B$253,MATCH($C261,Inventory!$A$4:$A$253,0))&amp;" "&amp;INDEX(Inventory!$C$4:$C$253,MATCH($C261,Inventory!$A$4:$A$253,0)),"SKU not in Inventory"))</f>
        <v/>
      </c>
      <c r="E261" s="36" t="n"/>
      <c r="F261" s="35" t="n"/>
      <c r="G261" s="35" t="n"/>
      <c r="H261" s="49">
        <f>IF($C261="","",IFERROR(INDEX(Inventory!$H$4:$H$253,MATCH($C261,Inventory!$A$4:$A$253,0)),0))</f>
        <v/>
      </c>
      <c r="I261" s="34" t="n"/>
      <c r="J261" s="38">
        <f>IF($C261="","",MAX(0,$E261*$F261-$G261))</f>
        <v/>
      </c>
      <c r="K261" s="38">
        <f>IF(OR($C261="",$I261="No"),0,ROUND($J261*IFERROR(INDEX(Shows!$F$4:$F$23,MATCH($B261,Shows!$A$4:$A$23,0)),0),2))</f>
        <v/>
      </c>
      <c r="L261" s="38">
        <f>IF($C261="","",$E261*$H261)</f>
        <v/>
      </c>
      <c r="M261" s="38">
        <f>IF($C261="","",$J261-$L261-$P261)</f>
        <v/>
      </c>
      <c r="N261" s="34" t="n"/>
      <c r="O261" s="34" t="n"/>
      <c r="P261" s="38">
        <f>IF(OR($C261="",$N261&lt;&gt;"Card"),0,ROUND(($J261+$K261)*IFERROR(INDEX(Shows!$G$4:$G$23,MATCH($B261,Shows!$A$4:$A$23,0)),0)+IFERROR(INDEX(Shows!$H$4:$H$23,MATCH($B261,Shows!$A$4:$A$23,0)),0),2))</f>
        <v/>
      </c>
      <c r="Q261" s="38">
        <f>IF($C261="","",$J261+$K261-$P261)</f>
        <v/>
      </c>
      <c r="R261" s="34" t="n"/>
      <c r="S261" s="34" t="n"/>
      <c r="T261" s="34" t="n"/>
    </row>
    <row r="262">
      <c r="A262" s="46" t="n"/>
      <c r="B262" s="40" t="n"/>
      <c r="C262" s="40" t="n"/>
      <c r="D262" s="11">
        <f>IF($C262="","",IFERROR(INDEX(Inventory!$B$4:$B$253,MATCH($C262,Inventory!$A$4:$A$253,0))&amp;" "&amp;INDEX(Inventory!$C$4:$C$253,MATCH($C262,Inventory!$A$4:$A$253,0)),"SKU not in Inventory"))</f>
        <v/>
      </c>
      <c r="E262" s="42" t="n"/>
      <c r="F262" s="41" t="n"/>
      <c r="G262" s="41" t="n"/>
      <c r="H262" s="47">
        <f>IF($C262="","",IFERROR(INDEX(Inventory!$H$4:$H$253,MATCH($C262,Inventory!$A$4:$A$253,0)),0))</f>
        <v/>
      </c>
      <c r="I262" s="40" t="n"/>
      <c r="J262" s="44">
        <f>IF($C262="","",MAX(0,$E262*$F262-$G262))</f>
        <v/>
      </c>
      <c r="K262" s="44">
        <f>IF(OR($C262="",$I262="No"),0,ROUND($J262*IFERROR(INDEX(Shows!$F$4:$F$23,MATCH($B262,Shows!$A$4:$A$23,0)),0),2))</f>
        <v/>
      </c>
      <c r="L262" s="44">
        <f>IF($C262="","",$E262*$H262)</f>
        <v/>
      </c>
      <c r="M262" s="44">
        <f>IF($C262="","",$J262-$L262-$P262)</f>
        <v/>
      </c>
      <c r="N262" s="40" t="n"/>
      <c r="O262" s="40" t="n"/>
      <c r="P262" s="44">
        <f>IF(OR($C262="",$N262&lt;&gt;"Card"),0,ROUND(($J262+$K262)*IFERROR(INDEX(Shows!$G$4:$G$23,MATCH($B262,Shows!$A$4:$A$23,0)),0)+IFERROR(INDEX(Shows!$H$4:$H$23,MATCH($B262,Shows!$A$4:$A$23,0)),0),2))</f>
        <v/>
      </c>
      <c r="Q262" s="44">
        <f>IF($C262="","",$J262+$K262-$P262)</f>
        <v/>
      </c>
      <c r="R262" s="40" t="n"/>
      <c r="S262" s="40" t="n"/>
      <c r="T262" s="40" t="n"/>
    </row>
    <row r="263">
      <c r="A263" s="48" t="n"/>
      <c r="B263" s="34" t="n"/>
      <c r="C263" s="34" t="n"/>
      <c r="D263" s="15">
        <f>IF($C263="","",IFERROR(INDEX(Inventory!$B$4:$B$253,MATCH($C263,Inventory!$A$4:$A$253,0))&amp;" "&amp;INDEX(Inventory!$C$4:$C$253,MATCH($C263,Inventory!$A$4:$A$253,0)),"SKU not in Inventory"))</f>
        <v/>
      </c>
      <c r="E263" s="36" t="n"/>
      <c r="F263" s="35" t="n"/>
      <c r="G263" s="35" t="n"/>
      <c r="H263" s="49">
        <f>IF($C263="","",IFERROR(INDEX(Inventory!$H$4:$H$253,MATCH($C263,Inventory!$A$4:$A$253,0)),0))</f>
        <v/>
      </c>
      <c r="I263" s="34" t="n"/>
      <c r="J263" s="38">
        <f>IF($C263="","",MAX(0,$E263*$F263-$G263))</f>
        <v/>
      </c>
      <c r="K263" s="38">
        <f>IF(OR($C263="",$I263="No"),0,ROUND($J263*IFERROR(INDEX(Shows!$F$4:$F$23,MATCH($B263,Shows!$A$4:$A$23,0)),0),2))</f>
        <v/>
      </c>
      <c r="L263" s="38">
        <f>IF($C263="","",$E263*$H263)</f>
        <v/>
      </c>
      <c r="M263" s="38">
        <f>IF($C263="","",$J263-$L263-$P263)</f>
        <v/>
      </c>
      <c r="N263" s="34" t="n"/>
      <c r="O263" s="34" t="n"/>
      <c r="P263" s="38">
        <f>IF(OR($C263="",$N263&lt;&gt;"Card"),0,ROUND(($J263+$K263)*IFERROR(INDEX(Shows!$G$4:$G$23,MATCH($B263,Shows!$A$4:$A$23,0)),0)+IFERROR(INDEX(Shows!$H$4:$H$23,MATCH($B263,Shows!$A$4:$A$23,0)),0),2))</f>
        <v/>
      </c>
      <c r="Q263" s="38">
        <f>IF($C263="","",$J263+$K263-$P263)</f>
        <v/>
      </c>
      <c r="R263" s="34" t="n"/>
      <c r="S263" s="34" t="n"/>
      <c r="T263" s="34" t="n"/>
    </row>
    <row r="264">
      <c r="A264" s="46" t="n"/>
      <c r="B264" s="40" t="n"/>
      <c r="C264" s="40" t="n"/>
      <c r="D264" s="11">
        <f>IF($C264="","",IFERROR(INDEX(Inventory!$B$4:$B$253,MATCH($C264,Inventory!$A$4:$A$253,0))&amp;" "&amp;INDEX(Inventory!$C$4:$C$253,MATCH($C264,Inventory!$A$4:$A$253,0)),"SKU not in Inventory"))</f>
        <v/>
      </c>
      <c r="E264" s="42" t="n"/>
      <c r="F264" s="41" t="n"/>
      <c r="G264" s="41" t="n"/>
      <c r="H264" s="47">
        <f>IF($C264="","",IFERROR(INDEX(Inventory!$H$4:$H$253,MATCH($C264,Inventory!$A$4:$A$253,0)),0))</f>
        <v/>
      </c>
      <c r="I264" s="40" t="n"/>
      <c r="J264" s="44">
        <f>IF($C264="","",MAX(0,$E264*$F264-$G264))</f>
        <v/>
      </c>
      <c r="K264" s="44">
        <f>IF(OR($C264="",$I264="No"),0,ROUND($J264*IFERROR(INDEX(Shows!$F$4:$F$23,MATCH($B264,Shows!$A$4:$A$23,0)),0),2))</f>
        <v/>
      </c>
      <c r="L264" s="44">
        <f>IF($C264="","",$E264*$H264)</f>
        <v/>
      </c>
      <c r="M264" s="44">
        <f>IF($C264="","",$J264-$L264-$P264)</f>
        <v/>
      </c>
      <c r="N264" s="40" t="n"/>
      <c r="O264" s="40" t="n"/>
      <c r="P264" s="44">
        <f>IF(OR($C264="",$N264&lt;&gt;"Card"),0,ROUND(($J264+$K264)*IFERROR(INDEX(Shows!$G$4:$G$23,MATCH($B264,Shows!$A$4:$A$23,0)),0)+IFERROR(INDEX(Shows!$H$4:$H$23,MATCH($B264,Shows!$A$4:$A$23,0)),0),2))</f>
        <v/>
      </c>
      <c r="Q264" s="44">
        <f>IF($C264="","",$J264+$K264-$P264)</f>
        <v/>
      </c>
      <c r="R264" s="40" t="n"/>
      <c r="S264" s="40" t="n"/>
      <c r="T264" s="40" t="n"/>
    </row>
    <row r="265">
      <c r="A265" s="48" t="n"/>
      <c r="B265" s="34" t="n"/>
      <c r="C265" s="34" t="n"/>
      <c r="D265" s="15">
        <f>IF($C265="","",IFERROR(INDEX(Inventory!$B$4:$B$253,MATCH($C265,Inventory!$A$4:$A$253,0))&amp;" "&amp;INDEX(Inventory!$C$4:$C$253,MATCH($C265,Inventory!$A$4:$A$253,0)),"SKU not in Inventory"))</f>
        <v/>
      </c>
      <c r="E265" s="36" t="n"/>
      <c r="F265" s="35" t="n"/>
      <c r="G265" s="35" t="n"/>
      <c r="H265" s="49">
        <f>IF($C265="","",IFERROR(INDEX(Inventory!$H$4:$H$253,MATCH($C265,Inventory!$A$4:$A$253,0)),0))</f>
        <v/>
      </c>
      <c r="I265" s="34" t="n"/>
      <c r="J265" s="38">
        <f>IF($C265="","",MAX(0,$E265*$F265-$G265))</f>
        <v/>
      </c>
      <c r="K265" s="38">
        <f>IF(OR($C265="",$I265="No"),0,ROUND($J265*IFERROR(INDEX(Shows!$F$4:$F$23,MATCH($B265,Shows!$A$4:$A$23,0)),0),2))</f>
        <v/>
      </c>
      <c r="L265" s="38">
        <f>IF($C265="","",$E265*$H265)</f>
        <v/>
      </c>
      <c r="M265" s="38">
        <f>IF($C265="","",$J265-$L265-$P265)</f>
        <v/>
      </c>
      <c r="N265" s="34" t="n"/>
      <c r="O265" s="34" t="n"/>
      <c r="P265" s="38">
        <f>IF(OR($C265="",$N265&lt;&gt;"Card"),0,ROUND(($J265+$K265)*IFERROR(INDEX(Shows!$G$4:$G$23,MATCH($B265,Shows!$A$4:$A$23,0)),0)+IFERROR(INDEX(Shows!$H$4:$H$23,MATCH($B265,Shows!$A$4:$A$23,0)),0),2))</f>
        <v/>
      </c>
      <c r="Q265" s="38">
        <f>IF($C265="","",$J265+$K265-$P265)</f>
        <v/>
      </c>
      <c r="R265" s="34" t="n"/>
      <c r="S265" s="34" t="n"/>
      <c r="T265" s="34" t="n"/>
    </row>
    <row r="266">
      <c r="A266" s="46" t="n"/>
      <c r="B266" s="40" t="n"/>
      <c r="C266" s="40" t="n"/>
      <c r="D266" s="11">
        <f>IF($C266="","",IFERROR(INDEX(Inventory!$B$4:$B$253,MATCH($C266,Inventory!$A$4:$A$253,0))&amp;" "&amp;INDEX(Inventory!$C$4:$C$253,MATCH($C266,Inventory!$A$4:$A$253,0)),"SKU not in Inventory"))</f>
        <v/>
      </c>
      <c r="E266" s="42" t="n"/>
      <c r="F266" s="41" t="n"/>
      <c r="G266" s="41" t="n"/>
      <c r="H266" s="47">
        <f>IF($C266="","",IFERROR(INDEX(Inventory!$H$4:$H$253,MATCH($C266,Inventory!$A$4:$A$253,0)),0))</f>
        <v/>
      </c>
      <c r="I266" s="40" t="n"/>
      <c r="J266" s="44">
        <f>IF($C266="","",MAX(0,$E266*$F266-$G266))</f>
        <v/>
      </c>
      <c r="K266" s="44">
        <f>IF(OR($C266="",$I266="No"),0,ROUND($J266*IFERROR(INDEX(Shows!$F$4:$F$23,MATCH($B266,Shows!$A$4:$A$23,0)),0),2))</f>
        <v/>
      </c>
      <c r="L266" s="44">
        <f>IF($C266="","",$E266*$H266)</f>
        <v/>
      </c>
      <c r="M266" s="44">
        <f>IF($C266="","",$J266-$L266-$P266)</f>
        <v/>
      </c>
      <c r="N266" s="40" t="n"/>
      <c r="O266" s="40" t="n"/>
      <c r="P266" s="44">
        <f>IF(OR($C266="",$N266&lt;&gt;"Card"),0,ROUND(($J266+$K266)*IFERROR(INDEX(Shows!$G$4:$G$23,MATCH($B266,Shows!$A$4:$A$23,0)),0)+IFERROR(INDEX(Shows!$H$4:$H$23,MATCH($B266,Shows!$A$4:$A$23,0)),0),2))</f>
        <v/>
      </c>
      <c r="Q266" s="44">
        <f>IF($C266="","",$J266+$K266-$P266)</f>
        <v/>
      </c>
      <c r="R266" s="40" t="n"/>
      <c r="S266" s="40" t="n"/>
      <c r="T266" s="40" t="n"/>
    </row>
    <row r="267">
      <c r="A267" s="48" t="n"/>
      <c r="B267" s="34" t="n"/>
      <c r="C267" s="34" t="n"/>
      <c r="D267" s="15">
        <f>IF($C267="","",IFERROR(INDEX(Inventory!$B$4:$B$253,MATCH($C267,Inventory!$A$4:$A$253,0))&amp;" "&amp;INDEX(Inventory!$C$4:$C$253,MATCH($C267,Inventory!$A$4:$A$253,0)),"SKU not in Inventory"))</f>
        <v/>
      </c>
      <c r="E267" s="36" t="n"/>
      <c r="F267" s="35" t="n"/>
      <c r="G267" s="35" t="n"/>
      <c r="H267" s="49">
        <f>IF($C267="","",IFERROR(INDEX(Inventory!$H$4:$H$253,MATCH($C267,Inventory!$A$4:$A$253,0)),0))</f>
        <v/>
      </c>
      <c r="I267" s="34" t="n"/>
      <c r="J267" s="38">
        <f>IF($C267="","",MAX(0,$E267*$F267-$G267))</f>
        <v/>
      </c>
      <c r="K267" s="38">
        <f>IF(OR($C267="",$I267="No"),0,ROUND($J267*IFERROR(INDEX(Shows!$F$4:$F$23,MATCH($B267,Shows!$A$4:$A$23,0)),0),2))</f>
        <v/>
      </c>
      <c r="L267" s="38">
        <f>IF($C267="","",$E267*$H267)</f>
        <v/>
      </c>
      <c r="M267" s="38">
        <f>IF($C267="","",$J267-$L267-$P267)</f>
        <v/>
      </c>
      <c r="N267" s="34" t="n"/>
      <c r="O267" s="34" t="n"/>
      <c r="P267" s="38">
        <f>IF(OR($C267="",$N267&lt;&gt;"Card"),0,ROUND(($J267+$K267)*IFERROR(INDEX(Shows!$G$4:$G$23,MATCH($B267,Shows!$A$4:$A$23,0)),0)+IFERROR(INDEX(Shows!$H$4:$H$23,MATCH($B267,Shows!$A$4:$A$23,0)),0),2))</f>
        <v/>
      </c>
      <c r="Q267" s="38">
        <f>IF($C267="","",$J267+$K267-$P267)</f>
        <v/>
      </c>
      <c r="R267" s="34" t="n"/>
      <c r="S267" s="34" t="n"/>
      <c r="T267" s="34" t="n"/>
    </row>
    <row r="268">
      <c r="A268" s="46" t="n"/>
      <c r="B268" s="40" t="n"/>
      <c r="C268" s="40" t="n"/>
      <c r="D268" s="11">
        <f>IF($C268="","",IFERROR(INDEX(Inventory!$B$4:$B$253,MATCH($C268,Inventory!$A$4:$A$253,0))&amp;" "&amp;INDEX(Inventory!$C$4:$C$253,MATCH($C268,Inventory!$A$4:$A$253,0)),"SKU not in Inventory"))</f>
        <v/>
      </c>
      <c r="E268" s="42" t="n"/>
      <c r="F268" s="41" t="n"/>
      <c r="G268" s="41" t="n"/>
      <c r="H268" s="47">
        <f>IF($C268="","",IFERROR(INDEX(Inventory!$H$4:$H$253,MATCH($C268,Inventory!$A$4:$A$253,0)),0))</f>
        <v/>
      </c>
      <c r="I268" s="40" t="n"/>
      <c r="J268" s="44">
        <f>IF($C268="","",MAX(0,$E268*$F268-$G268))</f>
        <v/>
      </c>
      <c r="K268" s="44">
        <f>IF(OR($C268="",$I268="No"),0,ROUND($J268*IFERROR(INDEX(Shows!$F$4:$F$23,MATCH($B268,Shows!$A$4:$A$23,0)),0),2))</f>
        <v/>
      </c>
      <c r="L268" s="44">
        <f>IF($C268="","",$E268*$H268)</f>
        <v/>
      </c>
      <c r="M268" s="44">
        <f>IF($C268="","",$J268-$L268-$P268)</f>
        <v/>
      </c>
      <c r="N268" s="40" t="n"/>
      <c r="O268" s="40" t="n"/>
      <c r="P268" s="44">
        <f>IF(OR($C268="",$N268&lt;&gt;"Card"),0,ROUND(($J268+$K268)*IFERROR(INDEX(Shows!$G$4:$G$23,MATCH($B268,Shows!$A$4:$A$23,0)),0)+IFERROR(INDEX(Shows!$H$4:$H$23,MATCH($B268,Shows!$A$4:$A$23,0)),0),2))</f>
        <v/>
      </c>
      <c r="Q268" s="44">
        <f>IF($C268="","",$J268+$K268-$P268)</f>
        <v/>
      </c>
      <c r="R268" s="40" t="n"/>
      <c r="S268" s="40" t="n"/>
      <c r="T268" s="40" t="n"/>
    </row>
    <row r="269">
      <c r="A269" s="48" t="n"/>
      <c r="B269" s="34" t="n"/>
      <c r="C269" s="34" t="n"/>
      <c r="D269" s="15">
        <f>IF($C269="","",IFERROR(INDEX(Inventory!$B$4:$B$253,MATCH($C269,Inventory!$A$4:$A$253,0))&amp;" "&amp;INDEX(Inventory!$C$4:$C$253,MATCH($C269,Inventory!$A$4:$A$253,0)),"SKU not in Inventory"))</f>
        <v/>
      </c>
      <c r="E269" s="36" t="n"/>
      <c r="F269" s="35" t="n"/>
      <c r="G269" s="35" t="n"/>
      <c r="H269" s="49">
        <f>IF($C269="","",IFERROR(INDEX(Inventory!$H$4:$H$253,MATCH($C269,Inventory!$A$4:$A$253,0)),0))</f>
        <v/>
      </c>
      <c r="I269" s="34" t="n"/>
      <c r="J269" s="38">
        <f>IF($C269="","",MAX(0,$E269*$F269-$G269))</f>
        <v/>
      </c>
      <c r="K269" s="38">
        <f>IF(OR($C269="",$I269="No"),0,ROUND($J269*IFERROR(INDEX(Shows!$F$4:$F$23,MATCH($B269,Shows!$A$4:$A$23,0)),0),2))</f>
        <v/>
      </c>
      <c r="L269" s="38">
        <f>IF($C269="","",$E269*$H269)</f>
        <v/>
      </c>
      <c r="M269" s="38">
        <f>IF($C269="","",$J269-$L269-$P269)</f>
        <v/>
      </c>
      <c r="N269" s="34" t="n"/>
      <c r="O269" s="34" t="n"/>
      <c r="P269" s="38">
        <f>IF(OR($C269="",$N269&lt;&gt;"Card"),0,ROUND(($J269+$K269)*IFERROR(INDEX(Shows!$G$4:$G$23,MATCH($B269,Shows!$A$4:$A$23,0)),0)+IFERROR(INDEX(Shows!$H$4:$H$23,MATCH($B269,Shows!$A$4:$A$23,0)),0),2))</f>
        <v/>
      </c>
      <c r="Q269" s="38">
        <f>IF($C269="","",$J269+$K269-$P269)</f>
        <v/>
      </c>
      <c r="R269" s="34" t="n"/>
      <c r="S269" s="34" t="n"/>
      <c r="T269" s="34" t="n"/>
    </row>
    <row r="270">
      <c r="A270" s="46" t="n"/>
      <c r="B270" s="40" t="n"/>
      <c r="C270" s="40" t="n"/>
      <c r="D270" s="11">
        <f>IF($C270="","",IFERROR(INDEX(Inventory!$B$4:$B$253,MATCH($C270,Inventory!$A$4:$A$253,0))&amp;" "&amp;INDEX(Inventory!$C$4:$C$253,MATCH($C270,Inventory!$A$4:$A$253,0)),"SKU not in Inventory"))</f>
        <v/>
      </c>
      <c r="E270" s="42" t="n"/>
      <c r="F270" s="41" t="n"/>
      <c r="G270" s="41" t="n"/>
      <c r="H270" s="47">
        <f>IF($C270="","",IFERROR(INDEX(Inventory!$H$4:$H$253,MATCH($C270,Inventory!$A$4:$A$253,0)),0))</f>
        <v/>
      </c>
      <c r="I270" s="40" t="n"/>
      <c r="J270" s="44">
        <f>IF($C270="","",MAX(0,$E270*$F270-$G270))</f>
        <v/>
      </c>
      <c r="K270" s="44">
        <f>IF(OR($C270="",$I270="No"),0,ROUND($J270*IFERROR(INDEX(Shows!$F$4:$F$23,MATCH($B270,Shows!$A$4:$A$23,0)),0),2))</f>
        <v/>
      </c>
      <c r="L270" s="44">
        <f>IF($C270="","",$E270*$H270)</f>
        <v/>
      </c>
      <c r="M270" s="44">
        <f>IF($C270="","",$J270-$L270-$P270)</f>
        <v/>
      </c>
      <c r="N270" s="40" t="n"/>
      <c r="O270" s="40" t="n"/>
      <c r="P270" s="44">
        <f>IF(OR($C270="",$N270&lt;&gt;"Card"),0,ROUND(($J270+$K270)*IFERROR(INDEX(Shows!$G$4:$G$23,MATCH($B270,Shows!$A$4:$A$23,0)),0)+IFERROR(INDEX(Shows!$H$4:$H$23,MATCH($B270,Shows!$A$4:$A$23,0)),0),2))</f>
        <v/>
      </c>
      <c r="Q270" s="44">
        <f>IF($C270="","",$J270+$K270-$P270)</f>
        <v/>
      </c>
      <c r="R270" s="40" t="n"/>
      <c r="S270" s="40" t="n"/>
      <c r="T270" s="40" t="n"/>
    </row>
    <row r="271">
      <c r="A271" s="48" t="n"/>
      <c r="B271" s="34" t="n"/>
      <c r="C271" s="34" t="n"/>
      <c r="D271" s="15">
        <f>IF($C271="","",IFERROR(INDEX(Inventory!$B$4:$B$253,MATCH($C271,Inventory!$A$4:$A$253,0))&amp;" "&amp;INDEX(Inventory!$C$4:$C$253,MATCH($C271,Inventory!$A$4:$A$253,0)),"SKU not in Inventory"))</f>
        <v/>
      </c>
      <c r="E271" s="36" t="n"/>
      <c r="F271" s="35" t="n"/>
      <c r="G271" s="35" t="n"/>
      <c r="H271" s="49">
        <f>IF($C271="","",IFERROR(INDEX(Inventory!$H$4:$H$253,MATCH($C271,Inventory!$A$4:$A$253,0)),0))</f>
        <v/>
      </c>
      <c r="I271" s="34" t="n"/>
      <c r="J271" s="38">
        <f>IF($C271="","",MAX(0,$E271*$F271-$G271))</f>
        <v/>
      </c>
      <c r="K271" s="38">
        <f>IF(OR($C271="",$I271="No"),0,ROUND($J271*IFERROR(INDEX(Shows!$F$4:$F$23,MATCH($B271,Shows!$A$4:$A$23,0)),0),2))</f>
        <v/>
      </c>
      <c r="L271" s="38">
        <f>IF($C271="","",$E271*$H271)</f>
        <v/>
      </c>
      <c r="M271" s="38">
        <f>IF($C271="","",$J271-$L271-$P271)</f>
        <v/>
      </c>
      <c r="N271" s="34" t="n"/>
      <c r="O271" s="34" t="n"/>
      <c r="P271" s="38">
        <f>IF(OR($C271="",$N271&lt;&gt;"Card"),0,ROUND(($J271+$K271)*IFERROR(INDEX(Shows!$G$4:$G$23,MATCH($B271,Shows!$A$4:$A$23,0)),0)+IFERROR(INDEX(Shows!$H$4:$H$23,MATCH($B271,Shows!$A$4:$A$23,0)),0),2))</f>
        <v/>
      </c>
      <c r="Q271" s="38">
        <f>IF($C271="","",$J271+$K271-$P271)</f>
        <v/>
      </c>
      <c r="R271" s="34" t="n"/>
      <c r="S271" s="34" t="n"/>
      <c r="T271" s="34" t="n"/>
    </row>
    <row r="272">
      <c r="A272" s="46" t="n"/>
      <c r="B272" s="40" t="n"/>
      <c r="C272" s="40" t="n"/>
      <c r="D272" s="11">
        <f>IF($C272="","",IFERROR(INDEX(Inventory!$B$4:$B$253,MATCH($C272,Inventory!$A$4:$A$253,0))&amp;" "&amp;INDEX(Inventory!$C$4:$C$253,MATCH($C272,Inventory!$A$4:$A$253,0)),"SKU not in Inventory"))</f>
        <v/>
      </c>
      <c r="E272" s="42" t="n"/>
      <c r="F272" s="41" t="n"/>
      <c r="G272" s="41" t="n"/>
      <c r="H272" s="47">
        <f>IF($C272="","",IFERROR(INDEX(Inventory!$H$4:$H$253,MATCH($C272,Inventory!$A$4:$A$253,0)),0))</f>
        <v/>
      </c>
      <c r="I272" s="40" t="n"/>
      <c r="J272" s="44">
        <f>IF($C272="","",MAX(0,$E272*$F272-$G272))</f>
        <v/>
      </c>
      <c r="K272" s="44">
        <f>IF(OR($C272="",$I272="No"),0,ROUND($J272*IFERROR(INDEX(Shows!$F$4:$F$23,MATCH($B272,Shows!$A$4:$A$23,0)),0),2))</f>
        <v/>
      </c>
      <c r="L272" s="44">
        <f>IF($C272="","",$E272*$H272)</f>
        <v/>
      </c>
      <c r="M272" s="44">
        <f>IF($C272="","",$J272-$L272-$P272)</f>
        <v/>
      </c>
      <c r="N272" s="40" t="n"/>
      <c r="O272" s="40" t="n"/>
      <c r="P272" s="44">
        <f>IF(OR($C272="",$N272&lt;&gt;"Card"),0,ROUND(($J272+$K272)*IFERROR(INDEX(Shows!$G$4:$G$23,MATCH($B272,Shows!$A$4:$A$23,0)),0)+IFERROR(INDEX(Shows!$H$4:$H$23,MATCH($B272,Shows!$A$4:$A$23,0)),0),2))</f>
        <v/>
      </c>
      <c r="Q272" s="44">
        <f>IF($C272="","",$J272+$K272-$P272)</f>
        <v/>
      </c>
      <c r="R272" s="40" t="n"/>
      <c r="S272" s="40" t="n"/>
      <c r="T272" s="40" t="n"/>
    </row>
    <row r="273">
      <c r="A273" s="48" t="n"/>
      <c r="B273" s="34" t="n"/>
      <c r="C273" s="34" t="n"/>
      <c r="D273" s="15">
        <f>IF($C273="","",IFERROR(INDEX(Inventory!$B$4:$B$253,MATCH($C273,Inventory!$A$4:$A$253,0))&amp;" "&amp;INDEX(Inventory!$C$4:$C$253,MATCH($C273,Inventory!$A$4:$A$253,0)),"SKU not in Inventory"))</f>
        <v/>
      </c>
      <c r="E273" s="36" t="n"/>
      <c r="F273" s="35" t="n"/>
      <c r="G273" s="35" t="n"/>
      <c r="H273" s="49">
        <f>IF($C273="","",IFERROR(INDEX(Inventory!$H$4:$H$253,MATCH($C273,Inventory!$A$4:$A$253,0)),0))</f>
        <v/>
      </c>
      <c r="I273" s="34" t="n"/>
      <c r="J273" s="38">
        <f>IF($C273="","",MAX(0,$E273*$F273-$G273))</f>
        <v/>
      </c>
      <c r="K273" s="38">
        <f>IF(OR($C273="",$I273="No"),0,ROUND($J273*IFERROR(INDEX(Shows!$F$4:$F$23,MATCH($B273,Shows!$A$4:$A$23,0)),0),2))</f>
        <v/>
      </c>
      <c r="L273" s="38">
        <f>IF($C273="","",$E273*$H273)</f>
        <v/>
      </c>
      <c r="M273" s="38">
        <f>IF($C273="","",$J273-$L273-$P273)</f>
        <v/>
      </c>
      <c r="N273" s="34" t="n"/>
      <c r="O273" s="34" t="n"/>
      <c r="P273" s="38">
        <f>IF(OR($C273="",$N273&lt;&gt;"Card"),0,ROUND(($J273+$K273)*IFERROR(INDEX(Shows!$G$4:$G$23,MATCH($B273,Shows!$A$4:$A$23,0)),0)+IFERROR(INDEX(Shows!$H$4:$H$23,MATCH($B273,Shows!$A$4:$A$23,0)),0),2))</f>
        <v/>
      </c>
      <c r="Q273" s="38">
        <f>IF($C273="","",$J273+$K273-$P273)</f>
        <v/>
      </c>
      <c r="R273" s="34" t="n"/>
      <c r="S273" s="34" t="n"/>
      <c r="T273" s="34" t="n"/>
    </row>
    <row r="274">
      <c r="A274" s="46" t="n"/>
      <c r="B274" s="40" t="n"/>
      <c r="C274" s="40" t="n"/>
      <c r="D274" s="11">
        <f>IF($C274="","",IFERROR(INDEX(Inventory!$B$4:$B$253,MATCH($C274,Inventory!$A$4:$A$253,0))&amp;" "&amp;INDEX(Inventory!$C$4:$C$253,MATCH($C274,Inventory!$A$4:$A$253,0)),"SKU not in Inventory"))</f>
        <v/>
      </c>
      <c r="E274" s="42" t="n"/>
      <c r="F274" s="41" t="n"/>
      <c r="G274" s="41" t="n"/>
      <c r="H274" s="47">
        <f>IF($C274="","",IFERROR(INDEX(Inventory!$H$4:$H$253,MATCH($C274,Inventory!$A$4:$A$253,0)),0))</f>
        <v/>
      </c>
      <c r="I274" s="40" t="n"/>
      <c r="J274" s="44">
        <f>IF($C274="","",MAX(0,$E274*$F274-$G274))</f>
        <v/>
      </c>
      <c r="K274" s="44">
        <f>IF(OR($C274="",$I274="No"),0,ROUND($J274*IFERROR(INDEX(Shows!$F$4:$F$23,MATCH($B274,Shows!$A$4:$A$23,0)),0),2))</f>
        <v/>
      </c>
      <c r="L274" s="44">
        <f>IF($C274="","",$E274*$H274)</f>
        <v/>
      </c>
      <c r="M274" s="44">
        <f>IF($C274="","",$J274-$L274-$P274)</f>
        <v/>
      </c>
      <c r="N274" s="40" t="n"/>
      <c r="O274" s="40" t="n"/>
      <c r="P274" s="44">
        <f>IF(OR($C274="",$N274&lt;&gt;"Card"),0,ROUND(($J274+$K274)*IFERROR(INDEX(Shows!$G$4:$G$23,MATCH($B274,Shows!$A$4:$A$23,0)),0)+IFERROR(INDEX(Shows!$H$4:$H$23,MATCH($B274,Shows!$A$4:$A$23,0)),0),2))</f>
        <v/>
      </c>
      <c r="Q274" s="44">
        <f>IF($C274="","",$J274+$K274-$P274)</f>
        <v/>
      </c>
      <c r="R274" s="40" t="n"/>
      <c r="S274" s="40" t="n"/>
      <c r="T274" s="40" t="n"/>
    </row>
    <row r="275">
      <c r="A275" s="48" t="n"/>
      <c r="B275" s="34" t="n"/>
      <c r="C275" s="34" t="n"/>
      <c r="D275" s="15">
        <f>IF($C275="","",IFERROR(INDEX(Inventory!$B$4:$B$253,MATCH($C275,Inventory!$A$4:$A$253,0))&amp;" "&amp;INDEX(Inventory!$C$4:$C$253,MATCH($C275,Inventory!$A$4:$A$253,0)),"SKU not in Inventory"))</f>
        <v/>
      </c>
      <c r="E275" s="36" t="n"/>
      <c r="F275" s="35" t="n"/>
      <c r="G275" s="35" t="n"/>
      <c r="H275" s="49">
        <f>IF($C275="","",IFERROR(INDEX(Inventory!$H$4:$H$253,MATCH($C275,Inventory!$A$4:$A$253,0)),0))</f>
        <v/>
      </c>
      <c r="I275" s="34" t="n"/>
      <c r="J275" s="38">
        <f>IF($C275="","",MAX(0,$E275*$F275-$G275))</f>
        <v/>
      </c>
      <c r="K275" s="38">
        <f>IF(OR($C275="",$I275="No"),0,ROUND($J275*IFERROR(INDEX(Shows!$F$4:$F$23,MATCH($B275,Shows!$A$4:$A$23,0)),0),2))</f>
        <v/>
      </c>
      <c r="L275" s="38">
        <f>IF($C275="","",$E275*$H275)</f>
        <v/>
      </c>
      <c r="M275" s="38">
        <f>IF($C275="","",$J275-$L275-$P275)</f>
        <v/>
      </c>
      <c r="N275" s="34" t="n"/>
      <c r="O275" s="34" t="n"/>
      <c r="P275" s="38">
        <f>IF(OR($C275="",$N275&lt;&gt;"Card"),0,ROUND(($J275+$K275)*IFERROR(INDEX(Shows!$G$4:$G$23,MATCH($B275,Shows!$A$4:$A$23,0)),0)+IFERROR(INDEX(Shows!$H$4:$H$23,MATCH($B275,Shows!$A$4:$A$23,0)),0),2))</f>
        <v/>
      </c>
      <c r="Q275" s="38">
        <f>IF($C275="","",$J275+$K275-$P275)</f>
        <v/>
      </c>
      <c r="R275" s="34" t="n"/>
      <c r="S275" s="34" t="n"/>
      <c r="T275" s="34" t="n"/>
    </row>
    <row r="276">
      <c r="A276" s="46" t="n"/>
      <c r="B276" s="40" t="n"/>
      <c r="C276" s="40" t="n"/>
      <c r="D276" s="11">
        <f>IF($C276="","",IFERROR(INDEX(Inventory!$B$4:$B$253,MATCH($C276,Inventory!$A$4:$A$253,0))&amp;" "&amp;INDEX(Inventory!$C$4:$C$253,MATCH($C276,Inventory!$A$4:$A$253,0)),"SKU not in Inventory"))</f>
        <v/>
      </c>
      <c r="E276" s="42" t="n"/>
      <c r="F276" s="41" t="n"/>
      <c r="G276" s="41" t="n"/>
      <c r="H276" s="47">
        <f>IF($C276="","",IFERROR(INDEX(Inventory!$H$4:$H$253,MATCH($C276,Inventory!$A$4:$A$253,0)),0))</f>
        <v/>
      </c>
      <c r="I276" s="40" t="n"/>
      <c r="J276" s="44">
        <f>IF($C276="","",MAX(0,$E276*$F276-$G276))</f>
        <v/>
      </c>
      <c r="K276" s="44">
        <f>IF(OR($C276="",$I276="No"),0,ROUND($J276*IFERROR(INDEX(Shows!$F$4:$F$23,MATCH($B276,Shows!$A$4:$A$23,0)),0),2))</f>
        <v/>
      </c>
      <c r="L276" s="44">
        <f>IF($C276="","",$E276*$H276)</f>
        <v/>
      </c>
      <c r="M276" s="44">
        <f>IF($C276="","",$J276-$L276-$P276)</f>
        <v/>
      </c>
      <c r="N276" s="40" t="n"/>
      <c r="O276" s="40" t="n"/>
      <c r="P276" s="44">
        <f>IF(OR($C276="",$N276&lt;&gt;"Card"),0,ROUND(($J276+$K276)*IFERROR(INDEX(Shows!$G$4:$G$23,MATCH($B276,Shows!$A$4:$A$23,0)),0)+IFERROR(INDEX(Shows!$H$4:$H$23,MATCH($B276,Shows!$A$4:$A$23,0)),0),2))</f>
        <v/>
      </c>
      <c r="Q276" s="44">
        <f>IF($C276="","",$J276+$K276-$P276)</f>
        <v/>
      </c>
      <c r="R276" s="40" t="n"/>
      <c r="S276" s="40" t="n"/>
      <c r="T276" s="40" t="n"/>
    </row>
    <row r="277">
      <c r="A277" s="48" t="n"/>
      <c r="B277" s="34" t="n"/>
      <c r="C277" s="34" t="n"/>
      <c r="D277" s="15">
        <f>IF($C277="","",IFERROR(INDEX(Inventory!$B$4:$B$253,MATCH($C277,Inventory!$A$4:$A$253,0))&amp;" "&amp;INDEX(Inventory!$C$4:$C$253,MATCH($C277,Inventory!$A$4:$A$253,0)),"SKU not in Inventory"))</f>
        <v/>
      </c>
      <c r="E277" s="36" t="n"/>
      <c r="F277" s="35" t="n"/>
      <c r="G277" s="35" t="n"/>
      <c r="H277" s="49">
        <f>IF($C277="","",IFERROR(INDEX(Inventory!$H$4:$H$253,MATCH($C277,Inventory!$A$4:$A$253,0)),0))</f>
        <v/>
      </c>
      <c r="I277" s="34" t="n"/>
      <c r="J277" s="38">
        <f>IF($C277="","",MAX(0,$E277*$F277-$G277))</f>
        <v/>
      </c>
      <c r="K277" s="38">
        <f>IF(OR($C277="",$I277="No"),0,ROUND($J277*IFERROR(INDEX(Shows!$F$4:$F$23,MATCH($B277,Shows!$A$4:$A$23,0)),0),2))</f>
        <v/>
      </c>
      <c r="L277" s="38">
        <f>IF($C277="","",$E277*$H277)</f>
        <v/>
      </c>
      <c r="M277" s="38">
        <f>IF($C277="","",$J277-$L277-$P277)</f>
        <v/>
      </c>
      <c r="N277" s="34" t="n"/>
      <c r="O277" s="34" t="n"/>
      <c r="P277" s="38">
        <f>IF(OR($C277="",$N277&lt;&gt;"Card"),0,ROUND(($J277+$K277)*IFERROR(INDEX(Shows!$G$4:$G$23,MATCH($B277,Shows!$A$4:$A$23,0)),0)+IFERROR(INDEX(Shows!$H$4:$H$23,MATCH($B277,Shows!$A$4:$A$23,0)),0),2))</f>
        <v/>
      </c>
      <c r="Q277" s="38">
        <f>IF($C277="","",$J277+$K277-$P277)</f>
        <v/>
      </c>
      <c r="R277" s="34" t="n"/>
      <c r="S277" s="34" t="n"/>
      <c r="T277" s="34" t="n"/>
    </row>
    <row r="278">
      <c r="A278" s="46" t="n"/>
      <c r="B278" s="40" t="n"/>
      <c r="C278" s="40" t="n"/>
      <c r="D278" s="11">
        <f>IF($C278="","",IFERROR(INDEX(Inventory!$B$4:$B$253,MATCH($C278,Inventory!$A$4:$A$253,0))&amp;" "&amp;INDEX(Inventory!$C$4:$C$253,MATCH($C278,Inventory!$A$4:$A$253,0)),"SKU not in Inventory"))</f>
        <v/>
      </c>
      <c r="E278" s="42" t="n"/>
      <c r="F278" s="41" t="n"/>
      <c r="G278" s="41" t="n"/>
      <c r="H278" s="47">
        <f>IF($C278="","",IFERROR(INDEX(Inventory!$H$4:$H$253,MATCH($C278,Inventory!$A$4:$A$253,0)),0))</f>
        <v/>
      </c>
      <c r="I278" s="40" t="n"/>
      <c r="J278" s="44">
        <f>IF($C278="","",MAX(0,$E278*$F278-$G278))</f>
        <v/>
      </c>
      <c r="K278" s="44">
        <f>IF(OR($C278="",$I278="No"),0,ROUND($J278*IFERROR(INDEX(Shows!$F$4:$F$23,MATCH($B278,Shows!$A$4:$A$23,0)),0),2))</f>
        <v/>
      </c>
      <c r="L278" s="44">
        <f>IF($C278="","",$E278*$H278)</f>
        <v/>
      </c>
      <c r="M278" s="44">
        <f>IF($C278="","",$J278-$L278-$P278)</f>
        <v/>
      </c>
      <c r="N278" s="40" t="n"/>
      <c r="O278" s="40" t="n"/>
      <c r="P278" s="44">
        <f>IF(OR($C278="",$N278&lt;&gt;"Card"),0,ROUND(($J278+$K278)*IFERROR(INDEX(Shows!$G$4:$G$23,MATCH($B278,Shows!$A$4:$A$23,0)),0)+IFERROR(INDEX(Shows!$H$4:$H$23,MATCH($B278,Shows!$A$4:$A$23,0)),0),2))</f>
        <v/>
      </c>
      <c r="Q278" s="44">
        <f>IF($C278="","",$J278+$K278-$P278)</f>
        <v/>
      </c>
      <c r="R278" s="40" t="n"/>
      <c r="S278" s="40" t="n"/>
      <c r="T278" s="40" t="n"/>
    </row>
    <row r="279">
      <c r="A279" s="48" t="n"/>
      <c r="B279" s="34" t="n"/>
      <c r="C279" s="34" t="n"/>
      <c r="D279" s="15">
        <f>IF($C279="","",IFERROR(INDEX(Inventory!$B$4:$B$253,MATCH($C279,Inventory!$A$4:$A$253,0))&amp;" "&amp;INDEX(Inventory!$C$4:$C$253,MATCH($C279,Inventory!$A$4:$A$253,0)),"SKU not in Inventory"))</f>
        <v/>
      </c>
      <c r="E279" s="36" t="n"/>
      <c r="F279" s="35" t="n"/>
      <c r="G279" s="35" t="n"/>
      <c r="H279" s="49">
        <f>IF($C279="","",IFERROR(INDEX(Inventory!$H$4:$H$253,MATCH($C279,Inventory!$A$4:$A$253,0)),0))</f>
        <v/>
      </c>
      <c r="I279" s="34" t="n"/>
      <c r="J279" s="38">
        <f>IF($C279="","",MAX(0,$E279*$F279-$G279))</f>
        <v/>
      </c>
      <c r="K279" s="38">
        <f>IF(OR($C279="",$I279="No"),0,ROUND($J279*IFERROR(INDEX(Shows!$F$4:$F$23,MATCH($B279,Shows!$A$4:$A$23,0)),0),2))</f>
        <v/>
      </c>
      <c r="L279" s="38">
        <f>IF($C279="","",$E279*$H279)</f>
        <v/>
      </c>
      <c r="M279" s="38">
        <f>IF($C279="","",$J279-$L279-$P279)</f>
        <v/>
      </c>
      <c r="N279" s="34" t="n"/>
      <c r="O279" s="34" t="n"/>
      <c r="P279" s="38">
        <f>IF(OR($C279="",$N279&lt;&gt;"Card"),0,ROUND(($J279+$K279)*IFERROR(INDEX(Shows!$G$4:$G$23,MATCH($B279,Shows!$A$4:$A$23,0)),0)+IFERROR(INDEX(Shows!$H$4:$H$23,MATCH($B279,Shows!$A$4:$A$23,0)),0),2))</f>
        <v/>
      </c>
      <c r="Q279" s="38">
        <f>IF($C279="","",$J279+$K279-$P279)</f>
        <v/>
      </c>
      <c r="R279" s="34" t="n"/>
      <c r="S279" s="34" t="n"/>
      <c r="T279" s="34" t="n"/>
    </row>
    <row r="280">
      <c r="A280" s="46" t="n"/>
      <c r="B280" s="40" t="n"/>
      <c r="C280" s="40" t="n"/>
      <c r="D280" s="11">
        <f>IF($C280="","",IFERROR(INDEX(Inventory!$B$4:$B$253,MATCH($C280,Inventory!$A$4:$A$253,0))&amp;" "&amp;INDEX(Inventory!$C$4:$C$253,MATCH($C280,Inventory!$A$4:$A$253,0)),"SKU not in Inventory"))</f>
        <v/>
      </c>
      <c r="E280" s="42" t="n"/>
      <c r="F280" s="41" t="n"/>
      <c r="G280" s="41" t="n"/>
      <c r="H280" s="47">
        <f>IF($C280="","",IFERROR(INDEX(Inventory!$H$4:$H$253,MATCH($C280,Inventory!$A$4:$A$253,0)),0))</f>
        <v/>
      </c>
      <c r="I280" s="40" t="n"/>
      <c r="J280" s="44">
        <f>IF($C280="","",MAX(0,$E280*$F280-$G280))</f>
        <v/>
      </c>
      <c r="K280" s="44">
        <f>IF(OR($C280="",$I280="No"),0,ROUND($J280*IFERROR(INDEX(Shows!$F$4:$F$23,MATCH($B280,Shows!$A$4:$A$23,0)),0),2))</f>
        <v/>
      </c>
      <c r="L280" s="44">
        <f>IF($C280="","",$E280*$H280)</f>
        <v/>
      </c>
      <c r="M280" s="44">
        <f>IF($C280="","",$J280-$L280-$P280)</f>
        <v/>
      </c>
      <c r="N280" s="40" t="n"/>
      <c r="O280" s="40" t="n"/>
      <c r="P280" s="44">
        <f>IF(OR($C280="",$N280&lt;&gt;"Card"),0,ROUND(($J280+$K280)*IFERROR(INDEX(Shows!$G$4:$G$23,MATCH($B280,Shows!$A$4:$A$23,0)),0)+IFERROR(INDEX(Shows!$H$4:$H$23,MATCH($B280,Shows!$A$4:$A$23,0)),0),2))</f>
        <v/>
      </c>
      <c r="Q280" s="44">
        <f>IF($C280="","",$J280+$K280-$P280)</f>
        <v/>
      </c>
      <c r="R280" s="40" t="n"/>
      <c r="S280" s="40" t="n"/>
      <c r="T280" s="40" t="n"/>
    </row>
    <row r="281">
      <c r="A281" s="48" t="n"/>
      <c r="B281" s="34" t="n"/>
      <c r="C281" s="34" t="n"/>
      <c r="D281" s="15">
        <f>IF($C281="","",IFERROR(INDEX(Inventory!$B$4:$B$253,MATCH($C281,Inventory!$A$4:$A$253,0))&amp;" "&amp;INDEX(Inventory!$C$4:$C$253,MATCH($C281,Inventory!$A$4:$A$253,0)),"SKU not in Inventory"))</f>
        <v/>
      </c>
      <c r="E281" s="36" t="n"/>
      <c r="F281" s="35" t="n"/>
      <c r="G281" s="35" t="n"/>
      <c r="H281" s="49">
        <f>IF($C281="","",IFERROR(INDEX(Inventory!$H$4:$H$253,MATCH($C281,Inventory!$A$4:$A$253,0)),0))</f>
        <v/>
      </c>
      <c r="I281" s="34" t="n"/>
      <c r="J281" s="38">
        <f>IF($C281="","",MAX(0,$E281*$F281-$G281))</f>
        <v/>
      </c>
      <c r="K281" s="38">
        <f>IF(OR($C281="",$I281="No"),0,ROUND($J281*IFERROR(INDEX(Shows!$F$4:$F$23,MATCH($B281,Shows!$A$4:$A$23,0)),0),2))</f>
        <v/>
      </c>
      <c r="L281" s="38">
        <f>IF($C281="","",$E281*$H281)</f>
        <v/>
      </c>
      <c r="M281" s="38">
        <f>IF($C281="","",$J281-$L281-$P281)</f>
        <v/>
      </c>
      <c r="N281" s="34" t="n"/>
      <c r="O281" s="34" t="n"/>
      <c r="P281" s="38">
        <f>IF(OR($C281="",$N281&lt;&gt;"Card"),0,ROUND(($J281+$K281)*IFERROR(INDEX(Shows!$G$4:$G$23,MATCH($B281,Shows!$A$4:$A$23,0)),0)+IFERROR(INDEX(Shows!$H$4:$H$23,MATCH($B281,Shows!$A$4:$A$23,0)),0),2))</f>
        <v/>
      </c>
      <c r="Q281" s="38">
        <f>IF($C281="","",$J281+$K281-$P281)</f>
        <v/>
      </c>
      <c r="R281" s="34" t="n"/>
      <c r="S281" s="34" t="n"/>
      <c r="T281" s="34" t="n"/>
    </row>
    <row r="282">
      <c r="A282" s="46" t="n"/>
      <c r="B282" s="40" t="n"/>
      <c r="C282" s="40" t="n"/>
      <c r="D282" s="11">
        <f>IF($C282="","",IFERROR(INDEX(Inventory!$B$4:$B$253,MATCH($C282,Inventory!$A$4:$A$253,0))&amp;" "&amp;INDEX(Inventory!$C$4:$C$253,MATCH($C282,Inventory!$A$4:$A$253,0)),"SKU not in Inventory"))</f>
        <v/>
      </c>
      <c r="E282" s="42" t="n"/>
      <c r="F282" s="41" t="n"/>
      <c r="G282" s="41" t="n"/>
      <c r="H282" s="47">
        <f>IF($C282="","",IFERROR(INDEX(Inventory!$H$4:$H$253,MATCH($C282,Inventory!$A$4:$A$253,0)),0))</f>
        <v/>
      </c>
      <c r="I282" s="40" t="n"/>
      <c r="J282" s="44">
        <f>IF($C282="","",MAX(0,$E282*$F282-$G282))</f>
        <v/>
      </c>
      <c r="K282" s="44">
        <f>IF(OR($C282="",$I282="No"),0,ROUND($J282*IFERROR(INDEX(Shows!$F$4:$F$23,MATCH($B282,Shows!$A$4:$A$23,0)),0),2))</f>
        <v/>
      </c>
      <c r="L282" s="44">
        <f>IF($C282="","",$E282*$H282)</f>
        <v/>
      </c>
      <c r="M282" s="44">
        <f>IF($C282="","",$J282-$L282-$P282)</f>
        <v/>
      </c>
      <c r="N282" s="40" t="n"/>
      <c r="O282" s="40" t="n"/>
      <c r="P282" s="44">
        <f>IF(OR($C282="",$N282&lt;&gt;"Card"),0,ROUND(($J282+$K282)*IFERROR(INDEX(Shows!$G$4:$G$23,MATCH($B282,Shows!$A$4:$A$23,0)),0)+IFERROR(INDEX(Shows!$H$4:$H$23,MATCH($B282,Shows!$A$4:$A$23,0)),0),2))</f>
        <v/>
      </c>
      <c r="Q282" s="44">
        <f>IF($C282="","",$J282+$K282-$P282)</f>
        <v/>
      </c>
      <c r="R282" s="40" t="n"/>
      <c r="S282" s="40" t="n"/>
      <c r="T282" s="40" t="n"/>
    </row>
    <row r="283">
      <c r="A283" s="48" t="n"/>
      <c r="B283" s="34" t="n"/>
      <c r="C283" s="34" t="n"/>
      <c r="D283" s="15">
        <f>IF($C283="","",IFERROR(INDEX(Inventory!$B$4:$B$253,MATCH($C283,Inventory!$A$4:$A$253,0))&amp;" "&amp;INDEX(Inventory!$C$4:$C$253,MATCH($C283,Inventory!$A$4:$A$253,0)),"SKU not in Inventory"))</f>
        <v/>
      </c>
      <c r="E283" s="36" t="n"/>
      <c r="F283" s="35" t="n"/>
      <c r="G283" s="35" t="n"/>
      <c r="H283" s="49">
        <f>IF($C283="","",IFERROR(INDEX(Inventory!$H$4:$H$253,MATCH($C283,Inventory!$A$4:$A$253,0)),0))</f>
        <v/>
      </c>
      <c r="I283" s="34" t="n"/>
      <c r="J283" s="38">
        <f>IF($C283="","",MAX(0,$E283*$F283-$G283))</f>
        <v/>
      </c>
      <c r="K283" s="38">
        <f>IF(OR($C283="",$I283="No"),0,ROUND($J283*IFERROR(INDEX(Shows!$F$4:$F$23,MATCH($B283,Shows!$A$4:$A$23,0)),0),2))</f>
        <v/>
      </c>
      <c r="L283" s="38">
        <f>IF($C283="","",$E283*$H283)</f>
        <v/>
      </c>
      <c r="M283" s="38">
        <f>IF($C283="","",$J283-$L283-$P283)</f>
        <v/>
      </c>
      <c r="N283" s="34" t="n"/>
      <c r="O283" s="34" t="n"/>
      <c r="P283" s="38">
        <f>IF(OR($C283="",$N283&lt;&gt;"Card"),0,ROUND(($J283+$K283)*IFERROR(INDEX(Shows!$G$4:$G$23,MATCH($B283,Shows!$A$4:$A$23,0)),0)+IFERROR(INDEX(Shows!$H$4:$H$23,MATCH($B283,Shows!$A$4:$A$23,0)),0),2))</f>
        <v/>
      </c>
      <c r="Q283" s="38">
        <f>IF($C283="","",$J283+$K283-$P283)</f>
        <v/>
      </c>
      <c r="R283" s="34" t="n"/>
      <c r="S283" s="34" t="n"/>
      <c r="T283" s="34" t="n"/>
    </row>
    <row r="284">
      <c r="A284" s="46" t="n"/>
      <c r="B284" s="40" t="n"/>
      <c r="C284" s="40" t="n"/>
      <c r="D284" s="11">
        <f>IF($C284="","",IFERROR(INDEX(Inventory!$B$4:$B$253,MATCH($C284,Inventory!$A$4:$A$253,0))&amp;" "&amp;INDEX(Inventory!$C$4:$C$253,MATCH($C284,Inventory!$A$4:$A$253,0)),"SKU not in Inventory"))</f>
        <v/>
      </c>
      <c r="E284" s="42" t="n"/>
      <c r="F284" s="41" t="n"/>
      <c r="G284" s="41" t="n"/>
      <c r="H284" s="47">
        <f>IF($C284="","",IFERROR(INDEX(Inventory!$H$4:$H$253,MATCH($C284,Inventory!$A$4:$A$253,0)),0))</f>
        <v/>
      </c>
      <c r="I284" s="40" t="n"/>
      <c r="J284" s="44">
        <f>IF($C284="","",MAX(0,$E284*$F284-$G284))</f>
        <v/>
      </c>
      <c r="K284" s="44">
        <f>IF(OR($C284="",$I284="No"),0,ROUND($J284*IFERROR(INDEX(Shows!$F$4:$F$23,MATCH($B284,Shows!$A$4:$A$23,0)),0),2))</f>
        <v/>
      </c>
      <c r="L284" s="44">
        <f>IF($C284="","",$E284*$H284)</f>
        <v/>
      </c>
      <c r="M284" s="44">
        <f>IF($C284="","",$J284-$L284-$P284)</f>
        <v/>
      </c>
      <c r="N284" s="40" t="n"/>
      <c r="O284" s="40" t="n"/>
      <c r="P284" s="44">
        <f>IF(OR($C284="",$N284&lt;&gt;"Card"),0,ROUND(($J284+$K284)*IFERROR(INDEX(Shows!$G$4:$G$23,MATCH($B284,Shows!$A$4:$A$23,0)),0)+IFERROR(INDEX(Shows!$H$4:$H$23,MATCH($B284,Shows!$A$4:$A$23,0)),0),2))</f>
        <v/>
      </c>
      <c r="Q284" s="44">
        <f>IF($C284="","",$J284+$K284-$P284)</f>
        <v/>
      </c>
      <c r="R284" s="40" t="n"/>
      <c r="S284" s="40" t="n"/>
      <c r="T284" s="40" t="n"/>
    </row>
    <row r="285">
      <c r="A285" s="48" t="n"/>
      <c r="B285" s="34" t="n"/>
      <c r="C285" s="34" t="n"/>
      <c r="D285" s="15">
        <f>IF($C285="","",IFERROR(INDEX(Inventory!$B$4:$B$253,MATCH($C285,Inventory!$A$4:$A$253,0))&amp;" "&amp;INDEX(Inventory!$C$4:$C$253,MATCH($C285,Inventory!$A$4:$A$253,0)),"SKU not in Inventory"))</f>
        <v/>
      </c>
      <c r="E285" s="36" t="n"/>
      <c r="F285" s="35" t="n"/>
      <c r="G285" s="35" t="n"/>
      <c r="H285" s="49">
        <f>IF($C285="","",IFERROR(INDEX(Inventory!$H$4:$H$253,MATCH($C285,Inventory!$A$4:$A$253,0)),0))</f>
        <v/>
      </c>
      <c r="I285" s="34" t="n"/>
      <c r="J285" s="38">
        <f>IF($C285="","",MAX(0,$E285*$F285-$G285))</f>
        <v/>
      </c>
      <c r="K285" s="38">
        <f>IF(OR($C285="",$I285="No"),0,ROUND($J285*IFERROR(INDEX(Shows!$F$4:$F$23,MATCH($B285,Shows!$A$4:$A$23,0)),0),2))</f>
        <v/>
      </c>
      <c r="L285" s="38">
        <f>IF($C285="","",$E285*$H285)</f>
        <v/>
      </c>
      <c r="M285" s="38">
        <f>IF($C285="","",$J285-$L285-$P285)</f>
        <v/>
      </c>
      <c r="N285" s="34" t="n"/>
      <c r="O285" s="34" t="n"/>
      <c r="P285" s="38">
        <f>IF(OR($C285="",$N285&lt;&gt;"Card"),0,ROUND(($J285+$K285)*IFERROR(INDEX(Shows!$G$4:$G$23,MATCH($B285,Shows!$A$4:$A$23,0)),0)+IFERROR(INDEX(Shows!$H$4:$H$23,MATCH($B285,Shows!$A$4:$A$23,0)),0),2))</f>
        <v/>
      </c>
      <c r="Q285" s="38">
        <f>IF($C285="","",$J285+$K285-$P285)</f>
        <v/>
      </c>
      <c r="R285" s="34" t="n"/>
      <c r="S285" s="34" t="n"/>
      <c r="T285" s="34" t="n"/>
    </row>
    <row r="286">
      <c r="A286" s="46" t="n"/>
      <c r="B286" s="40" t="n"/>
      <c r="C286" s="40" t="n"/>
      <c r="D286" s="11">
        <f>IF($C286="","",IFERROR(INDEX(Inventory!$B$4:$B$253,MATCH($C286,Inventory!$A$4:$A$253,0))&amp;" "&amp;INDEX(Inventory!$C$4:$C$253,MATCH($C286,Inventory!$A$4:$A$253,0)),"SKU not in Inventory"))</f>
        <v/>
      </c>
      <c r="E286" s="42" t="n"/>
      <c r="F286" s="41" t="n"/>
      <c r="G286" s="41" t="n"/>
      <c r="H286" s="47">
        <f>IF($C286="","",IFERROR(INDEX(Inventory!$H$4:$H$253,MATCH($C286,Inventory!$A$4:$A$253,0)),0))</f>
        <v/>
      </c>
      <c r="I286" s="40" t="n"/>
      <c r="J286" s="44">
        <f>IF($C286="","",MAX(0,$E286*$F286-$G286))</f>
        <v/>
      </c>
      <c r="K286" s="44">
        <f>IF(OR($C286="",$I286="No"),0,ROUND($J286*IFERROR(INDEX(Shows!$F$4:$F$23,MATCH($B286,Shows!$A$4:$A$23,0)),0),2))</f>
        <v/>
      </c>
      <c r="L286" s="44">
        <f>IF($C286="","",$E286*$H286)</f>
        <v/>
      </c>
      <c r="M286" s="44">
        <f>IF($C286="","",$J286-$L286-$P286)</f>
        <v/>
      </c>
      <c r="N286" s="40" t="n"/>
      <c r="O286" s="40" t="n"/>
      <c r="P286" s="44">
        <f>IF(OR($C286="",$N286&lt;&gt;"Card"),0,ROUND(($J286+$K286)*IFERROR(INDEX(Shows!$G$4:$G$23,MATCH($B286,Shows!$A$4:$A$23,0)),0)+IFERROR(INDEX(Shows!$H$4:$H$23,MATCH($B286,Shows!$A$4:$A$23,0)),0),2))</f>
        <v/>
      </c>
      <c r="Q286" s="44">
        <f>IF($C286="","",$J286+$K286-$P286)</f>
        <v/>
      </c>
      <c r="R286" s="40" t="n"/>
      <c r="S286" s="40" t="n"/>
      <c r="T286" s="40" t="n"/>
    </row>
    <row r="287">
      <c r="A287" s="48" t="n"/>
      <c r="B287" s="34" t="n"/>
      <c r="C287" s="34" t="n"/>
      <c r="D287" s="15">
        <f>IF($C287="","",IFERROR(INDEX(Inventory!$B$4:$B$253,MATCH($C287,Inventory!$A$4:$A$253,0))&amp;" "&amp;INDEX(Inventory!$C$4:$C$253,MATCH($C287,Inventory!$A$4:$A$253,0)),"SKU not in Inventory"))</f>
        <v/>
      </c>
      <c r="E287" s="36" t="n"/>
      <c r="F287" s="35" t="n"/>
      <c r="G287" s="35" t="n"/>
      <c r="H287" s="49">
        <f>IF($C287="","",IFERROR(INDEX(Inventory!$H$4:$H$253,MATCH($C287,Inventory!$A$4:$A$253,0)),0))</f>
        <v/>
      </c>
      <c r="I287" s="34" t="n"/>
      <c r="J287" s="38">
        <f>IF($C287="","",MAX(0,$E287*$F287-$G287))</f>
        <v/>
      </c>
      <c r="K287" s="38">
        <f>IF(OR($C287="",$I287="No"),0,ROUND($J287*IFERROR(INDEX(Shows!$F$4:$F$23,MATCH($B287,Shows!$A$4:$A$23,0)),0),2))</f>
        <v/>
      </c>
      <c r="L287" s="38">
        <f>IF($C287="","",$E287*$H287)</f>
        <v/>
      </c>
      <c r="M287" s="38">
        <f>IF($C287="","",$J287-$L287-$P287)</f>
        <v/>
      </c>
      <c r="N287" s="34" t="n"/>
      <c r="O287" s="34" t="n"/>
      <c r="P287" s="38">
        <f>IF(OR($C287="",$N287&lt;&gt;"Card"),0,ROUND(($J287+$K287)*IFERROR(INDEX(Shows!$G$4:$G$23,MATCH($B287,Shows!$A$4:$A$23,0)),0)+IFERROR(INDEX(Shows!$H$4:$H$23,MATCH($B287,Shows!$A$4:$A$23,0)),0),2))</f>
        <v/>
      </c>
      <c r="Q287" s="38">
        <f>IF($C287="","",$J287+$K287-$P287)</f>
        <v/>
      </c>
      <c r="R287" s="34" t="n"/>
      <c r="S287" s="34" t="n"/>
      <c r="T287" s="34" t="n"/>
    </row>
    <row r="288">
      <c r="A288" s="46" t="n"/>
      <c r="B288" s="40" t="n"/>
      <c r="C288" s="40" t="n"/>
      <c r="D288" s="11">
        <f>IF($C288="","",IFERROR(INDEX(Inventory!$B$4:$B$253,MATCH($C288,Inventory!$A$4:$A$253,0))&amp;" "&amp;INDEX(Inventory!$C$4:$C$253,MATCH($C288,Inventory!$A$4:$A$253,0)),"SKU not in Inventory"))</f>
        <v/>
      </c>
      <c r="E288" s="42" t="n"/>
      <c r="F288" s="41" t="n"/>
      <c r="G288" s="41" t="n"/>
      <c r="H288" s="47">
        <f>IF($C288="","",IFERROR(INDEX(Inventory!$H$4:$H$253,MATCH($C288,Inventory!$A$4:$A$253,0)),0))</f>
        <v/>
      </c>
      <c r="I288" s="40" t="n"/>
      <c r="J288" s="44">
        <f>IF($C288="","",MAX(0,$E288*$F288-$G288))</f>
        <v/>
      </c>
      <c r="K288" s="44">
        <f>IF(OR($C288="",$I288="No"),0,ROUND($J288*IFERROR(INDEX(Shows!$F$4:$F$23,MATCH($B288,Shows!$A$4:$A$23,0)),0),2))</f>
        <v/>
      </c>
      <c r="L288" s="44">
        <f>IF($C288="","",$E288*$H288)</f>
        <v/>
      </c>
      <c r="M288" s="44">
        <f>IF($C288="","",$J288-$L288-$P288)</f>
        <v/>
      </c>
      <c r="N288" s="40" t="n"/>
      <c r="O288" s="40" t="n"/>
      <c r="P288" s="44">
        <f>IF(OR($C288="",$N288&lt;&gt;"Card"),0,ROUND(($J288+$K288)*IFERROR(INDEX(Shows!$G$4:$G$23,MATCH($B288,Shows!$A$4:$A$23,0)),0)+IFERROR(INDEX(Shows!$H$4:$H$23,MATCH($B288,Shows!$A$4:$A$23,0)),0),2))</f>
        <v/>
      </c>
      <c r="Q288" s="44">
        <f>IF($C288="","",$J288+$K288-$P288)</f>
        <v/>
      </c>
      <c r="R288" s="40" t="n"/>
      <c r="S288" s="40" t="n"/>
      <c r="T288" s="40" t="n"/>
    </row>
    <row r="289">
      <c r="A289" s="48" t="n"/>
      <c r="B289" s="34" t="n"/>
      <c r="C289" s="34" t="n"/>
      <c r="D289" s="15">
        <f>IF($C289="","",IFERROR(INDEX(Inventory!$B$4:$B$253,MATCH($C289,Inventory!$A$4:$A$253,0))&amp;" "&amp;INDEX(Inventory!$C$4:$C$253,MATCH($C289,Inventory!$A$4:$A$253,0)),"SKU not in Inventory"))</f>
        <v/>
      </c>
      <c r="E289" s="36" t="n"/>
      <c r="F289" s="35" t="n"/>
      <c r="G289" s="35" t="n"/>
      <c r="H289" s="49">
        <f>IF($C289="","",IFERROR(INDEX(Inventory!$H$4:$H$253,MATCH($C289,Inventory!$A$4:$A$253,0)),0))</f>
        <v/>
      </c>
      <c r="I289" s="34" t="n"/>
      <c r="J289" s="38">
        <f>IF($C289="","",MAX(0,$E289*$F289-$G289))</f>
        <v/>
      </c>
      <c r="K289" s="38">
        <f>IF(OR($C289="",$I289="No"),0,ROUND($J289*IFERROR(INDEX(Shows!$F$4:$F$23,MATCH($B289,Shows!$A$4:$A$23,0)),0),2))</f>
        <v/>
      </c>
      <c r="L289" s="38">
        <f>IF($C289="","",$E289*$H289)</f>
        <v/>
      </c>
      <c r="M289" s="38">
        <f>IF($C289="","",$J289-$L289-$P289)</f>
        <v/>
      </c>
      <c r="N289" s="34" t="n"/>
      <c r="O289" s="34" t="n"/>
      <c r="P289" s="38">
        <f>IF(OR($C289="",$N289&lt;&gt;"Card"),0,ROUND(($J289+$K289)*IFERROR(INDEX(Shows!$G$4:$G$23,MATCH($B289,Shows!$A$4:$A$23,0)),0)+IFERROR(INDEX(Shows!$H$4:$H$23,MATCH($B289,Shows!$A$4:$A$23,0)),0),2))</f>
        <v/>
      </c>
      <c r="Q289" s="38">
        <f>IF($C289="","",$J289+$K289-$P289)</f>
        <v/>
      </c>
      <c r="R289" s="34" t="n"/>
      <c r="S289" s="34" t="n"/>
      <c r="T289" s="34" t="n"/>
    </row>
    <row r="290">
      <c r="A290" s="46" t="n"/>
      <c r="B290" s="40" t="n"/>
      <c r="C290" s="40" t="n"/>
      <c r="D290" s="11">
        <f>IF($C290="","",IFERROR(INDEX(Inventory!$B$4:$B$253,MATCH($C290,Inventory!$A$4:$A$253,0))&amp;" "&amp;INDEX(Inventory!$C$4:$C$253,MATCH($C290,Inventory!$A$4:$A$253,0)),"SKU not in Inventory"))</f>
        <v/>
      </c>
      <c r="E290" s="42" t="n"/>
      <c r="F290" s="41" t="n"/>
      <c r="G290" s="41" t="n"/>
      <c r="H290" s="47">
        <f>IF($C290="","",IFERROR(INDEX(Inventory!$H$4:$H$253,MATCH($C290,Inventory!$A$4:$A$253,0)),0))</f>
        <v/>
      </c>
      <c r="I290" s="40" t="n"/>
      <c r="J290" s="44">
        <f>IF($C290="","",MAX(0,$E290*$F290-$G290))</f>
        <v/>
      </c>
      <c r="K290" s="44">
        <f>IF(OR($C290="",$I290="No"),0,ROUND($J290*IFERROR(INDEX(Shows!$F$4:$F$23,MATCH($B290,Shows!$A$4:$A$23,0)),0),2))</f>
        <v/>
      </c>
      <c r="L290" s="44">
        <f>IF($C290="","",$E290*$H290)</f>
        <v/>
      </c>
      <c r="M290" s="44">
        <f>IF($C290="","",$J290-$L290-$P290)</f>
        <v/>
      </c>
      <c r="N290" s="40" t="n"/>
      <c r="O290" s="40" t="n"/>
      <c r="P290" s="44">
        <f>IF(OR($C290="",$N290&lt;&gt;"Card"),0,ROUND(($J290+$K290)*IFERROR(INDEX(Shows!$G$4:$G$23,MATCH($B290,Shows!$A$4:$A$23,0)),0)+IFERROR(INDEX(Shows!$H$4:$H$23,MATCH($B290,Shows!$A$4:$A$23,0)),0),2))</f>
        <v/>
      </c>
      <c r="Q290" s="44">
        <f>IF($C290="","",$J290+$K290-$P290)</f>
        <v/>
      </c>
      <c r="R290" s="40" t="n"/>
      <c r="S290" s="40" t="n"/>
      <c r="T290" s="40" t="n"/>
    </row>
    <row r="291">
      <c r="A291" s="48" t="n"/>
      <c r="B291" s="34" t="n"/>
      <c r="C291" s="34" t="n"/>
      <c r="D291" s="15">
        <f>IF($C291="","",IFERROR(INDEX(Inventory!$B$4:$B$253,MATCH($C291,Inventory!$A$4:$A$253,0))&amp;" "&amp;INDEX(Inventory!$C$4:$C$253,MATCH($C291,Inventory!$A$4:$A$253,0)),"SKU not in Inventory"))</f>
        <v/>
      </c>
      <c r="E291" s="36" t="n"/>
      <c r="F291" s="35" t="n"/>
      <c r="G291" s="35" t="n"/>
      <c r="H291" s="49">
        <f>IF($C291="","",IFERROR(INDEX(Inventory!$H$4:$H$253,MATCH($C291,Inventory!$A$4:$A$253,0)),0))</f>
        <v/>
      </c>
      <c r="I291" s="34" t="n"/>
      <c r="J291" s="38">
        <f>IF($C291="","",MAX(0,$E291*$F291-$G291))</f>
        <v/>
      </c>
      <c r="K291" s="38">
        <f>IF(OR($C291="",$I291="No"),0,ROUND($J291*IFERROR(INDEX(Shows!$F$4:$F$23,MATCH($B291,Shows!$A$4:$A$23,0)),0),2))</f>
        <v/>
      </c>
      <c r="L291" s="38">
        <f>IF($C291="","",$E291*$H291)</f>
        <v/>
      </c>
      <c r="M291" s="38">
        <f>IF($C291="","",$J291-$L291-$P291)</f>
        <v/>
      </c>
      <c r="N291" s="34" t="n"/>
      <c r="O291" s="34" t="n"/>
      <c r="P291" s="38">
        <f>IF(OR($C291="",$N291&lt;&gt;"Card"),0,ROUND(($J291+$K291)*IFERROR(INDEX(Shows!$G$4:$G$23,MATCH($B291,Shows!$A$4:$A$23,0)),0)+IFERROR(INDEX(Shows!$H$4:$H$23,MATCH($B291,Shows!$A$4:$A$23,0)),0),2))</f>
        <v/>
      </c>
      <c r="Q291" s="38">
        <f>IF($C291="","",$J291+$K291-$P291)</f>
        <v/>
      </c>
      <c r="R291" s="34" t="n"/>
      <c r="S291" s="34" t="n"/>
      <c r="T291" s="34" t="n"/>
    </row>
    <row r="292">
      <c r="A292" s="46" t="n"/>
      <c r="B292" s="40" t="n"/>
      <c r="C292" s="40" t="n"/>
      <c r="D292" s="11">
        <f>IF($C292="","",IFERROR(INDEX(Inventory!$B$4:$B$253,MATCH($C292,Inventory!$A$4:$A$253,0))&amp;" "&amp;INDEX(Inventory!$C$4:$C$253,MATCH($C292,Inventory!$A$4:$A$253,0)),"SKU not in Inventory"))</f>
        <v/>
      </c>
      <c r="E292" s="42" t="n"/>
      <c r="F292" s="41" t="n"/>
      <c r="G292" s="41" t="n"/>
      <c r="H292" s="47">
        <f>IF($C292="","",IFERROR(INDEX(Inventory!$H$4:$H$253,MATCH($C292,Inventory!$A$4:$A$253,0)),0))</f>
        <v/>
      </c>
      <c r="I292" s="40" t="n"/>
      <c r="J292" s="44">
        <f>IF($C292="","",MAX(0,$E292*$F292-$G292))</f>
        <v/>
      </c>
      <c r="K292" s="44">
        <f>IF(OR($C292="",$I292="No"),0,ROUND($J292*IFERROR(INDEX(Shows!$F$4:$F$23,MATCH($B292,Shows!$A$4:$A$23,0)),0),2))</f>
        <v/>
      </c>
      <c r="L292" s="44">
        <f>IF($C292="","",$E292*$H292)</f>
        <v/>
      </c>
      <c r="M292" s="44">
        <f>IF($C292="","",$J292-$L292-$P292)</f>
        <v/>
      </c>
      <c r="N292" s="40" t="n"/>
      <c r="O292" s="40" t="n"/>
      <c r="P292" s="44">
        <f>IF(OR($C292="",$N292&lt;&gt;"Card"),0,ROUND(($J292+$K292)*IFERROR(INDEX(Shows!$G$4:$G$23,MATCH($B292,Shows!$A$4:$A$23,0)),0)+IFERROR(INDEX(Shows!$H$4:$H$23,MATCH($B292,Shows!$A$4:$A$23,0)),0),2))</f>
        <v/>
      </c>
      <c r="Q292" s="44">
        <f>IF($C292="","",$J292+$K292-$P292)</f>
        <v/>
      </c>
      <c r="R292" s="40" t="n"/>
      <c r="S292" s="40" t="n"/>
      <c r="T292" s="40" t="n"/>
    </row>
    <row r="293">
      <c r="A293" s="48" t="n"/>
      <c r="B293" s="34" t="n"/>
      <c r="C293" s="34" t="n"/>
      <c r="D293" s="15">
        <f>IF($C293="","",IFERROR(INDEX(Inventory!$B$4:$B$253,MATCH($C293,Inventory!$A$4:$A$253,0))&amp;" "&amp;INDEX(Inventory!$C$4:$C$253,MATCH($C293,Inventory!$A$4:$A$253,0)),"SKU not in Inventory"))</f>
        <v/>
      </c>
      <c r="E293" s="36" t="n"/>
      <c r="F293" s="35" t="n"/>
      <c r="G293" s="35" t="n"/>
      <c r="H293" s="49">
        <f>IF($C293="","",IFERROR(INDEX(Inventory!$H$4:$H$253,MATCH($C293,Inventory!$A$4:$A$253,0)),0))</f>
        <v/>
      </c>
      <c r="I293" s="34" t="n"/>
      <c r="J293" s="38">
        <f>IF($C293="","",MAX(0,$E293*$F293-$G293))</f>
        <v/>
      </c>
      <c r="K293" s="38">
        <f>IF(OR($C293="",$I293="No"),0,ROUND($J293*IFERROR(INDEX(Shows!$F$4:$F$23,MATCH($B293,Shows!$A$4:$A$23,0)),0),2))</f>
        <v/>
      </c>
      <c r="L293" s="38">
        <f>IF($C293="","",$E293*$H293)</f>
        <v/>
      </c>
      <c r="M293" s="38">
        <f>IF($C293="","",$J293-$L293-$P293)</f>
        <v/>
      </c>
      <c r="N293" s="34" t="n"/>
      <c r="O293" s="34" t="n"/>
      <c r="P293" s="38">
        <f>IF(OR($C293="",$N293&lt;&gt;"Card"),0,ROUND(($J293+$K293)*IFERROR(INDEX(Shows!$G$4:$G$23,MATCH($B293,Shows!$A$4:$A$23,0)),0)+IFERROR(INDEX(Shows!$H$4:$H$23,MATCH($B293,Shows!$A$4:$A$23,0)),0),2))</f>
        <v/>
      </c>
      <c r="Q293" s="38">
        <f>IF($C293="","",$J293+$K293-$P293)</f>
        <v/>
      </c>
      <c r="R293" s="34" t="n"/>
      <c r="S293" s="34" t="n"/>
      <c r="T293" s="34" t="n"/>
    </row>
    <row r="294">
      <c r="A294" s="46" t="n"/>
      <c r="B294" s="40" t="n"/>
      <c r="C294" s="40" t="n"/>
      <c r="D294" s="11">
        <f>IF($C294="","",IFERROR(INDEX(Inventory!$B$4:$B$253,MATCH($C294,Inventory!$A$4:$A$253,0))&amp;" "&amp;INDEX(Inventory!$C$4:$C$253,MATCH($C294,Inventory!$A$4:$A$253,0)),"SKU not in Inventory"))</f>
        <v/>
      </c>
      <c r="E294" s="42" t="n"/>
      <c r="F294" s="41" t="n"/>
      <c r="G294" s="41" t="n"/>
      <c r="H294" s="47">
        <f>IF($C294="","",IFERROR(INDEX(Inventory!$H$4:$H$253,MATCH($C294,Inventory!$A$4:$A$253,0)),0))</f>
        <v/>
      </c>
      <c r="I294" s="40" t="n"/>
      <c r="J294" s="44">
        <f>IF($C294="","",MAX(0,$E294*$F294-$G294))</f>
        <v/>
      </c>
      <c r="K294" s="44">
        <f>IF(OR($C294="",$I294="No"),0,ROUND($J294*IFERROR(INDEX(Shows!$F$4:$F$23,MATCH($B294,Shows!$A$4:$A$23,0)),0),2))</f>
        <v/>
      </c>
      <c r="L294" s="44">
        <f>IF($C294="","",$E294*$H294)</f>
        <v/>
      </c>
      <c r="M294" s="44">
        <f>IF($C294="","",$J294-$L294-$P294)</f>
        <v/>
      </c>
      <c r="N294" s="40" t="n"/>
      <c r="O294" s="40" t="n"/>
      <c r="P294" s="44">
        <f>IF(OR($C294="",$N294&lt;&gt;"Card"),0,ROUND(($J294+$K294)*IFERROR(INDEX(Shows!$G$4:$G$23,MATCH($B294,Shows!$A$4:$A$23,0)),0)+IFERROR(INDEX(Shows!$H$4:$H$23,MATCH($B294,Shows!$A$4:$A$23,0)),0),2))</f>
        <v/>
      </c>
      <c r="Q294" s="44">
        <f>IF($C294="","",$J294+$K294-$P294)</f>
        <v/>
      </c>
      <c r="R294" s="40" t="n"/>
      <c r="S294" s="40" t="n"/>
      <c r="T294" s="40" t="n"/>
    </row>
    <row r="295">
      <c r="A295" s="48" t="n"/>
      <c r="B295" s="34" t="n"/>
      <c r="C295" s="34" t="n"/>
      <c r="D295" s="15">
        <f>IF($C295="","",IFERROR(INDEX(Inventory!$B$4:$B$253,MATCH($C295,Inventory!$A$4:$A$253,0))&amp;" "&amp;INDEX(Inventory!$C$4:$C$253,MATCH($C295,Inventory!$A$4:$A$253,0)),"SKU not in Inventory"))</f>
        <v/>
      </c>
      <c r="E295" s="36" t="n"/>
      <c r="F295" s="35" t="n"/>
      <c r="G295" s="35" t="n"/>
      <c r="H295" s="49">
        <f>IF($C295="","",IFERROR(INDEX(Inventory!$H$4:$H$253,MATCH($C295,Inventory!$A$4:$A$253,0)),0))</f>
        <v/>
      </c>
      <c r="I295" s="34" t="n"/>
      <c r="J295" s="38">
        <f>IF($C295="","",MAX(0,$E295*$F295-$G295))</f>
        <v/>
      </c>
      <c r="K295" s="38">
        <f>IF(OR($C295="",$I295="No"),0,ROUND($J295*IFERROR(INDEX(Shows!$F$4:$F$23,MATCH($B295,Shows!$A$4:$A$23,0)),0),2))</f>
        <v/>
      </c>
      <c r="L295" s="38">
        <f>IF($C295="","",$E295*$H295)</f>
        <v/>
      </c>
      <c r="M295" s="38">
        <f>IF($C295="","",$J295-$L295-$P295)</f>
        <v/>
      </c>
      <c r="N295" s="34" t="n"/>
      <c r="O295" s="34" t="n"/>
      <c r="P295" s="38">
        <f>IF(OR($C295="",$N295&lt;&gt;"Card"),0,ROUND(($J295+$K295)*IFERROR(INDEX(Shows!$G$4:$G$23,MATCH($B295,Shows!$A$4:$A$23,0)),0)+IFERROR(INDEX(Shows!$H$4:$H$23,MATCH($B295,Shows!$A$4:$A$23,0)),0),2))</f>
        <v/>
      </c>
      <c r="Q295" s="38">
        <f>IF($C295="","",$J295+$K295-$P295)</f>
        <v/>
      </c>
      <c r="R295" s="34" t="n"/>
      <c r="S295" s="34" t="n"/>
      <c r="T295" s="34" t="n"/>
    </row>
    <row r="296">
      <c r="A296" s="46" t="n"/>
      <c r="B296" s="40" t="n"/>
      <c r="C296" s="40" t="n"/>
      <c r="D296" s="11">
        <f>IF($C296="","",IFERROR(INDEX(Inventory!$B$4:$B$253,MATCH($C296,Inventory!$A$4:$A$253,0))&amp;" "&amp;INDEX(Inventory!$C$4:$C$253,MATCH($C296,Inventory!$A$4:$A$253,0)),"SKU not in Inventory"))</f>
        <v/>
      </c>
      <c r="E296" s="42" t="n"/>
      <c r="F296" s="41" t="n"/>
      <c r="G296" s="41" t="n"/>
      <c r="H296" s="47">
        <f>IF($C296="","",IFERROR(INDEX(Inventory!$H$4:$H$253,MATCH($C296,Inventory!$A$4:$A$253,0)),0))</f>
        <v/>
      </c>
      <c r="I296" s="40" t="n"/>
      <c r="J296" s="44">
        <f>IF($C296="","",MAX(0,$E296*$F296-$G296))</f>
        <v/>
      </c>
      <c r="K296" s="44">
        <f>IF(OR($C296="",$I296="No"),0,ROUND($J296*IFERROR(INDEX(Shows!$F$4:$F$23,MATCH($B296,Shows!$A$4:$A$23,0)),0),2))</f>
        <v/>
      </c>
      <c r="L296" s="44">
        <f>IF($C296="","",$E296*$H296)</f>
        <v/>
      </c>
      <c r="M296" s="44">
        <f>IF($C296="","",$J296-$L296-$P296)</f>
        <v/>
      </c>
      <c r="N296" s="40" t="n"/>
      <c r="O296" s="40" t="n"/>
      <c r="P296" s="44">
        <f>IF(OR($C296="",$N296&lt;&gt;"Card"),0,ROUND(($J296+$K296)*IFERROR(INDEX(Shows!$G$4:$G$23,MATCH($B296,Shows!$A$4:$A$23,0)),0)+IFERROR(INDEX(Shows!$H$4:$H$23,MATCH($B296,Shows!$A$4:$A$23,0)),0),2))</f>
        <v/>
      </c>
      <c r="Q296" s="44">
        <f>IF($C296="","",$J296+$K296-$P296)</f>
        <v/>
      </c>
      <c r="R296" s="40" t="n"/>
      <c r="S296" s="40" t="n"/>
      <c r="T296" s="40" t="n"/>
    </row>
    <row r="297">
      <c r="A297" s="48" t="n"/>
      <c r="B297" s="34" t="n"/>
      <c r="C297" s="34" t="n"/>
      <c r="D297" s="15">
        <f>IF($C297="","",IFERROR(INDEX(Inventory!$B$4:$B$253,MATCH($C297,Inventory!$A$4:$A$253,0))&amp;" "&amp;INDEX(Inventory!$C$4:$C$253,MATCH($C297,Inventory!$A$4:$A$253,0)),"SKU not in Inventory"))</f>
        <v/>
      </c>
      <c r="E297" s="36" t="n"/>
      <c r="F297" s="35" t="n"/>
      <c r="G297" s="35" t="n"/>
      <c r="H297" s="49">
        <f>IF($C297="","",IFERROR(INDEX(Inventory!$H$4:$H$253,MATCH($C297,Inventory!$A$4:$A$253,0)),0))</f>
        <v/>
      </c>
      <c r="I297" s="34" t="n"/>
      <c r="J297" s="38">
        <f>IF($C297="","",MAX(0,$E297*$F297-$G297))</f>
        <v/>
      </c>
      <c r="K297" s="38">
        <f>IF(OR($C297="",$I297="No"),0,ROUND($J297*IFERROR(INDEX(Shows!$F$4:$F$23,MATCH($B297,Shows!$A$4:$A$23,0)),0),2))</f>
        <v/>
      </c>
      <c r="L297" s="38">
        <f>IF($C297="","",$E297*$H297)</f>
        <v/>
      </c>
      <c r="M297" s="38">
        <f>IF($C297="","",$J297-$L297-$P297)</f>
        <v/>
      </c>
      <c r="N297" s="34" t="n"/>
      <c r="O297" s="34" t="n"/>
      <c r="P297" s="38">
        <f>IF(OR($C297="",$N297&lt;&gt;"Card"),0,ROUND(($J297+$K297)*IFERROR(INDEX(Shows!$G$4:$G$23,MATCH($B297,Shows!$A$4:$A$23,0)),0)+IFERROR(INDEX(Shows!$H$4:$H$23,MATCH($B297,Shows!$A$4:$A$23,0)),0),2))</f>
        <v/>
      </c>
      <c r="Q297" s="38">
        <f>IF($C297="","",$J297+$K297-$P297)</f>
        <v/>
      </c>
      <c r="R297" s="34" t="n"/>
      <c r="S297" s="34" t="n"/>
      <c r="T297" s="34" t="n"/>
    </row>
    <row r="298">
      <c r="A298" s="46" t="n"/>
      <c r="B298" s="40" t="n"/>
      <c r="C298" s="40" t="n"/>
      <c r="D298" s="11">
        <f>IF($C298="","",IFERROR(INDEX(Inventory!$B$4:$B$253,MATCH($C298,Inventory!$A$4:$A$253,0))&amp;" "&amp;INDEX(Inventory!$C$4:$C$253,MATCH($C298,Inventory!$A$4:$A$253,0)),"SKU not in Inventory"))</f>
        <v/>
      </c>
      <c r="E298" s="42" t="n"/>
      <c r="F298" s="41" t="n"/>
      <c r="G298" s="41" t="n"/>
      <c r="H298" s="47">
        <f>IF($C298="","",IFERROR(INDEX(Inventory!$H$4:$H$253,MATCH($C298,Inventory!$A$4:$A$253,0)),0))</f>
        <v/>
      </c>
      <c r="I298" s="40" t="n"/>
      <c r="J298" s="44">
        <f>IF($C298="","",MAX(0,$E298*$F298-$G298))</f>
        <v/>
      </c>
      <c r="K298" s="44">
        <f>IF(OR($C298="",$I298="No"),0,ROUND($J298*IFERROR(INDEX(Shows!$F$4:$F$23,MATCH($B298,Shows!$A$4:$A$23,0)),0),2))</f>
        <v/>
      </c>
      <c r="L298" s="44">
        <f>IF($C298="","",$E298*$H298)</f>
        <v/>
      </c>
      <c r="M298" s="44">
        <f>IF($C298="","",$J298-$L298-$P298)</f>
        <v/>
      </c>
      <c r="N298" s="40" t="n"/>
      <c r="O298" s="40" t="n"/>
      <c r="P298" s="44">
        <f>IF(OR($C298="",$N298&lt;&gt;"Card"),0,ROUND(($J298+$K298)*IFERROR(INDEX(Shows!$G$4:$G$23,MATCH($B298,Shows!$A$4:$A$23,0)),0)+IFERROR(INDEX(Shows!$H$4:$H$23,MATCH($B298,Shows!$A$4:$A$23,0)),0),2))</f>
        <v/>
      </c>
      <c r="Q298" s="44">
        <f>IF($C298="","",$J298+$K298-$P298)</f>
        <v/>
      </c>
      <c r="R298" s="40" t="n"/>
      <c r="S298" s="40" t="n"/>
      <c r="T298" s="40" t="n"/>
    </row>
    <row r="299">
      <c r="A299" s="48" t="n"/>
      <c r="B299" s="34" t="n"/>
      <c r="C299" s="34" t="n"/>
      <c r="D299" s="15">
        <f>IF($C299="","",IFERROR(INDEX(Inventory!$B$4:$B$253,MATCH($C299,Inventory!$A$4:$A$253,0))&amp;" "&amp;INDEX(Inventory!$C$4:$C$253,MATCH($C299,Inventory!$A$4:$A$253,0)),"SKU not in Inventory"))</f>
        <v/>
      </c>
      <c r="E299" s="36" t="n"/>
      <c r="F299" s="35" t="n"/>
      <c r="G299" s="35" t="n"/>
      <c r="H299" s="49">
        <f>IF($C299="","",IFERROR(INDEX(Inventory!$H$4:$H$253,MATCH($C299,Inventory!$A$4:$A$253,0)),0))</f>
        <v/>
      </c>
      <c r="I299" s="34" t="n"/>
      <c r="J299" s="38">
        <f>IF($C299="","",MAX(0,$E299*$F299-$G299))</f>
        <v/>
      </c>
      <c r="K299" s="38">
        <f>IF(OR($C299="",$I299="No"),0,ROUND($J299*IFERROR(INDEX(Shows!$F$4:$F$23,MATCH($B299,Shows!$A$4:$A$23,0)),0),2))</f>
        <v/>
      </c>
      <c r="L299" s="38">
        <f>IF($C299="","",$E299*$H299)</f>
        <v/>
      </c>
      <c r="M299" s="38">
        <f>IF($C299="","",$J299-$L299-$P299)</f>
        <v/>
      </c>
      <c r="N299" s="34" t="n"/>
      <c r="O299" s="34" t="n"/>
      <c r="P299" s="38">
        <f>IF(OR($C299="",$N299&lt;&gt;"Card"),0,ROUND(($J299+$K299)*IFERROR(INDEX(Shows!$G$4:$G$23,MATCH($B299,Shows!$A$4:$A$23,0)),0)+IFERROR(INDEX(Shows!$H$4:$H$23,MATCH($B299,Shows!$A$4:$A$23,0)),0),2))</f>
        <v/>
      </c>
      <c r="Q299" s="38">
        <f>IF($C299="","",$J299+$K299-$P299)</f>
        <v/>
      </c>
      <c r="R299" s="34" t="n"/>
      <c r="S299" s="34" t="n"/>
      <c r="T299" s="34" t="n"/>
    </row>
    <row r="300">
      <c r="A300" s="46" t="n"/>
      <c r="B300" s="40" t="n"/>
      <c r="C300" s="40" t="n"/>
      <c r="D300" s="11">
        <f>IF($C300="","",IFERROR(INDEX(Inventory!$B$4:$B$253,MATCH($C300,Inventory!$A$4:$A$253,0))&amp;" "&amp;INDEX(Inventory!$C$4:$C$253,MATCH($C300,Inventory!$A$4:$A$253,0)),"SKU not in Inventory"))</f>
        <v/>
      </c>
      <c r="E300" s="42" t="n"/>
      <c r="F300" s="41" t="n"/>
      <c r="G300" s="41" t="n"/>
      <c r="H300" s="47">
        <f>IF($C300="","",IFERROR(INDEX(Inventory!$H$4:$H$253,MATCH($C300,Inventory!$A$4:$A$253,0)),0))</f>
        <v/>
      </c>
      <c r="I300" s="40" t="n"/>
      <c r="J300" s="44">
        <f>IF($C300="","",MAX(0,$E300*$F300-$G300))</f>
        <v/>
      </c>
      <c r="K300" s="44">
        <f>IF(OR($C300="",$I300="No"),0,ROUND($J300*IFERROR(INDEX(Shows!$F$4:$F$23,MATCH($B300,Shows!$A$4:$A$23,0)),0),2))</f>
        <v/>
      </c>
      <c r="L300" s="44">
        <f>IF($C300="","",$E300*$H300)</f>
        <v/>
      </c>
      <c r="M300" s="44">
        <f>IF($C300="","",$J300-$L300-$P300)</f>
        <v/>
      </c>
      <c r="N300" s="40" t="n"/>
      <c r="O300" s="40" t="n"/>
      <c r="P300" s="44">
        <f>IF(OR($C300="",$N300&lt;&gt;"Card"),0,ROUND(($J300+$K300)*IFERROR(INDEX(Shows!$G$4:$G$23,MATCH($B300,Shows!$A$4:$A$23,0)),0)+IFERROR(INDEX(Shows!$H$4:$H$23,MATCH($B300,Shows!$A$4:$A$23,0)),0),2))</f>
        <v/>
      </c>
      <c r="Q300" s="44">
        <f>IF($C300="","",$J300+$K300-$P300)</f>
        <v/>
      </c>
      <c r="R300" s="40" t="n"/>
      <c r="S300" s="40" t="n"/>
      <c r="T300" s="40" t="n"/>
    </row>
    <row r="301">
      <c r="A301" s="48" t="n"/>
      <c r="B301" s="34" t="n"/>
      <c r="C301" s="34" t="n"/>
      <c r="D301" s="15">
        <f>IF($C301="","",IFERROR(INDEX(Inventory!$B$4:$B$253,MATCH($C301,Inventory!$A$4:$A$253,0))&amp;" "&amp;INDEX(Inventory!$C$4:$C$253,MATCH($C301,Inventory!$A$4:$A$253,0)),"SKU not in Inventory"))</f>
        <v/>
      </c>
      <c r="E301" s="36" t="n"/>
      <c r="F301" s="35" t="n"/>
      <c r="G301" s="35" t="n"/>
      <c r="H301" s="49">
        <f>IF($C301="","",IFERROR(INDEX(Inventory!$H$4:$H$253,MATCH($C301,Inventory!$A$4:$A$253,0)),0))</f>
        <v/>
      </c>
      <c r="I301" s="34" t="n"/>
      <c r="J301" s="38">
        <f>IF($C301="","",MAX(0,$E301*$F301-$G301))</f>
        <v/>
      </c>
      <c r="K301" s="38">
        <f>IF(OR($C301="",$I301="No"),0,ROUND($J301*IFERROR(INDEX(Shows!$F$4:$F$23,MATCH($B301,Shows!$A$4:$A$23,0)),0),2))</f>
        <v/>
      </c>
      <c r="L301" s="38">
        <f>IF($C301="","",$E301*$H301)</f>
        <v/>
      </c>
      <c r="M301" s="38">
        <f>IF($C301="","",$J301-$L301-$P301)</f>
        <v/>
      </c>
      <c r="N301" s="34" t="n"/>
      <c r="O301" s="34" t="n"/>
      <c r="P301" s="38">
        <f>IF(OR($C301="",$N301&lt;&gt;"Card"),0,ROUND(($J301+$K301)*IFERROR(INDEX(Shows!$G$4:$G$23,MATCH($B301,Shows!$A$4:$A$23,0)),0)+IFERROR(INDEX(Shows!$H$4:$H$23,MATCH($B301,Shows!$A$4:$A$23,0)),0),2))</f>
        <v/>
      </c>
      <c r="Q301" s="38">
        <f>IF($C301="","",$J301+$K301-$P301)</f>
        <v/>
      </c>
      <c r="R301" s="34" t="n"/>
      <c r="S301" s="34" t="n"/>
      <c r="T301" s="34" t="n"/>
    </row>
    <row r="302">
      <c r="A302" s="46" t="n"/>
      <c r="B302" s="40" t="n"/>
      <c r="C302" s="40" t="n"/>
      <c r="D302" s="11">
        <f>IF($C302="","",IFERROR(INDEX(Inventory!$B$4:$B$253,MATCH($C302,Inventory!$A$4:$A$253,0))&amp;" "&amp;INDEX(Inventory!$C$4:$C$253,MATCH($C302,Inventory!$A$4:$A$253,0)),"SKU not in Inventory"))</f>
        <v/>
      </c>
      <c r="E302" s="42" t="n"/>
      <c r="F302" s="41" t="n"/>
      <c r="G302" s="41" t="n"/>
      <c r="H302" s="47">
        <f>IF($C302="","",IFERROR(INDEX(Inventory!$H$4:$H$253,MATCH($C302,Inventory!$A$4:$A$253,0)),0))</f>
        <v/>
      </c>
      <c r="I302" s="40" t="n"/>
      <c r="J302" s="44">
        <f>IF($C302="","",MAX(0,$E302*$F302-$G302))</f>
        <v/>
      </c>
      <c r="K302" s="44">
        <f>IF(OR($C302="",$I302="No"),0,ROUND($J302*IFERROR(INDEX(Shows!$F$4:$F$23,MATCH($B302,Shows!$A$4:$A$23,0)),0),2))</f>
        <v/>
      </c>
      <c r="L302" s="44">
        <f>IF($C302="","",$E302*$H302)</f>
        <v/>
      </c>
      <c r="M302" s="44">
        <f>IF($C302="","",$J302-$L302-$P302)</f>
        <v/>
      </c>
      <c r="N302" s="40" t="n"/>
      <c r="O302" s="40" t="n"/>
      <c r="P302" s="44">
        <f>IF(OR($C302="",$N302&lt;&gt;"Card"),0,ROUND(($J302+$K302)*IFERROR(INDEX(Shows!$G$4:$G$23,MATCH($B302,Shows!$A$4:$A$23,0)),0)+IFERROR(INDEX(Shows!$H$4:$H$23,MATCH($B302,Shows!$A$4:$A$23,0)),0),2))</f>
        <v/>
      </c>
      <c r="Q302" s="44">
        <f>IF($C302="","",$J302+$K302-$P302)</f>
        <v/>
      </c>
      <c r="R302" s="40" t="n"/>
      <c r="S302" s="40" t="n"/>
      <c r="T302" s="40" t="n"/>
    </row>
    <row r="303">
      <c r="A303" s="48" t="n"/>
      <c r="B303" s="34" t="n"/>
      <c r="C303" s="34" t="n"/>
      <c r="D303" s="15">
        <f>IF($C303="","",IFERROR(INDEX(Inventory!$B$4:$B$253,MATCH($C303,Inventory!$A$4:$A$253,0))&amp;" "&amp;INDEX(Inventory!$C$4:$C$253,MATCH($C303,Inventory!$A$4:$A$253,0)),"SKU not in Inventory"))</f>
        <v/>
      </c>
      <c r="E303" s="36" t="n"/>
      <c r="F303" s="35" t="n"/>
      <c r="G303" s="35" t="n"/>
      <c r="H303" s="49">
        <f>IF($C303="","",IFERROR(INDEX(Inventory!$H$4:$H$253,MATCH($C303,Inventory!$A$4:$A$253,0)),0))</f>
        <v/>
      </c>
      <c r="I303" s="34" t="n"/>
      <c r="J303" s="38">
        <f>IF($C303="","",MAX(0,$E303*$F303-$G303))</f>
        <v/>
      </c>
      <c r="K303" s="38">
        <f>IF(OR($C303="",$I303="No"),0,ROUND($J303*IFERROR(INDEX(Shows!$F$4:$F$23,MATCH($B303,Shows!$A$4:$A$23,0)),0),2))</f>
        <v/>
      </c>
      <c r="L303" s="38">
        <f>IF($C303="","",$E303*$H303)</f>
        <v/>
      </c>
      <c r="M303" s="38">
        <f>IF($C303="","",$J303-$L303-$P303)</f>
        <v/>
      </c>
      <c r="N303" s="34" t="n"/>
      <c r="O303" s="34" t="n"/>
      <c r="P303" s="38">
        <f>IF(OR($C303="",$N303&lt;&gt;"Card"),0,ROUND(($J303+$K303)*IFERROR(INDEX(Shows!$G$4:$G$23,MATCH($B303,Shows!$A$4:$A$23,0)),0)+IFERROR(INDEX(Shows!$H$4:$H$23,MATCH($B303,Shows!$A$4:$A$23,0)),0),2))</f>
        <v/>
      </c>
      <c r="Q303" s="38">
        <f>IF($C303="","",$J303+$K303-$P303)</f>
        <v/>
      </c>
      <c r="R303" s="34" t="n"/>
      <c r="S303" s="34" t="n"/>
      <c r="T303" s="34" t="n"/>
    </row>
    <row r="304">
      <c r="A304" s="46" t="n"/>
      <c r="B304" s="40" t="n"/>
      <c r="C304" s="40" t="n"/>
      <c r="D304" s="11">
        <f>IF($C304="","",IFERROR(INDEX(Inventory!$B$4:$B$253,MATCH($C304,Inventory!$A$4:$A$253,0))&amp;" "&amp;INDEX(Inventory!$C$4:$C$253,MATCH($C304,Inventory!$A$4:$A$253,0)),"SKU not in Inventory"))</f>
        <v/>
      </c>
      <c r="E304" s="42" t="n"/>
      <c r="F304" s="41" t="n"/>
      <c r="G304" s="41" t="n"/>
      <c r="H304" s="47">
        <f>IF($C304="","",IFERROR(INDEX(Inventory!$H$4:$H$253,MATCH($C304,Inventory!$A$4:$A$253,0)),0))</f>
        <v/>
      </c>
      <c r="I304" s="40" t="n"/>
      <c r="J304" s="44">
        <f>IF($C304="","",MAX(0,$E304*$F304-$G304))</f>
        <v/>
      </c>
      <c r="K304" s="44">
        <f>IF(OR($C304="",$I304="No"),0,ROUND($J304*IFERROR(INDEX(Shows!$F$4:$F$23,MATCH($B304,Shows!$A$4:$A$23,0)),0),2))</f>
        <v/>
      </c>
      <c r="L304" s="44">
        <f>IF($C304="","",$E304*$H304)</f>
        <v/>
      </c>
      <c r="M304" s="44">
        <f>IF($C304="","",$J304-$L304-$P304)</f>
        <v/>
      </c>
      <c r="N304" s="40" t="n"/>
      <c r="O304" s="40" t="n"/>
      <c r="P304" s="44">
        <f>IF(OR($C304="",$N304&lt;&gt;"Card"),0,ROUND(($J304+$K304)*IFERROR(INDEX(Shows!$G$4:$G$23,MATCH($B304,Shows!$A$4:$A$23,0)),0)+IFERROR(INDEX(Shows!$H$4:$H$23,MATCH($B304,Shows!$A$4:$A$23,0)),0),2))</f>
        <v/>
      </c>
      <c r="Q304" s="44">
        <f>IF($C304="","",$J304+$K304-$P304)</f>
        <v/>
      </c>
      <c r="R304" s="40" t="n"/>
      <c r="S304" s="40" t="n"/>
      <c r="T304" s="40" t="n"/>
    </row>
    <row r="305">
      <c r="A305" s="48" t="n"/>
      <c r="B305" s="34" t="n"/>
      <c r="C305" s="34" t="n"/>
      <c r="D305" s="15">
        <f>IF($C305="","",IFERROR(INDEX(Inventory!$B$4:$B$253,MATCH($C305,Inventory!$A$4:$A$253,0))&amp;" "&amp;INDEX(Inventory!$C$4:$C$253,MATCH($C305,Inventory!$A$4:$A$253,0)),"SKU not in Inventory"))</f>
        <v/>
      </c>
      <c r="E305" s="36" t="n"/>
      <c r="F305" s="35" t="n"/>
      <c r="G305" s="35" t="n"/>
      <c r="H305" s="49">
        <f>IF($C305="","",IFERROR(INDEX(Inventory!$H$4:$H$253,MATCH($C305,Inventory!$A$4:$A$253,0)),0))</f>
        <v/>
      </c>
      <c r="I305" s="34" t="n"/>
      <c r="J305" s="38">
        <f>IF($C305="","",MAX(0,$E305*$F305-$G305))</f>
        <v/>
      </c>
      <c r="K305" s="38">
        <f>IF(OR($C305="",$I305="No"),0,ROUND($J305*IFERROR(INDEX(Shows!$F$4:$F$23,MATCH($B305,Shows!$A$4:$A$23,0)),0),2))</f>
        <v/>
      </c>
      <c r="L305" s="38">
        <f>IF($C305="","",$E305*$H305)</f>
        <v/>
      </c>
      <c r="M305" s="38">
        <f>IF($C305="","",$J305-$L305-$P305)</f>
        <v/>
      </c>
      <c r="N305" s="34" t="n"/>
      <c r="O305" s="34" t="n"/>
      <c r="P305" s="38">
        <f>IF(OR($C305="",$N305&lt;&gt;"Card"),0,ROUND(($J305+$K305)*IFERROR(INDEX(Shows!$G$4:$G$23,MATCH($B305,Shows!$A$4:$A$23,0)),0)+IFERROR(INDEX(Shows!$H$4:$H$23,MATCH($B305,Shows!$A$4:$A$23,0)),0),2))</f>
        <v/>
      </c>
      <c r="Q305" s="38">
        <f>IF($C305="","",$J305+$K305-$P305)</f>
        <v/>
      </c>
      <c r="R305" s="34" t="n"/>
      <c r="S305" s="34" t="n"/>
      <c r="T305" s="34" t="n"/>
    </row>
    <row r="306">
      <c r="A306" s="46" t="n"/>
      <c r="B306" s="40" t="n"/>
      <c r="C306" s="40" t="n"/>
      <c r="D306" s="11">
        <f>IF($C306="","",IFERROR(INDEX(Inventory!$B$4:$B$253,MATCH($C306,Inventory!$A$4:$A$253,0))&amp;" "&amp;INDEX(Inventory!$C$4:$C$253,MATCH($C306,Inventory!$A$4:$A$253,0)),"SKU not in Inventory"))</f>
        <v/>
      </c>
      <c r="E306" s="42" t="n"/>
      <c r="F306" s="41" t="n"/>
      <c r="G306" s="41" t="n"/>
      <c r="H306" s="47">
        <f>IF($C306="","",IFERROR(INDEX(Inventory!$H$4:$H$253,MATCH($C306,Inventory!$A$4:$A$253,0)),0))</f>
        <v/>
      </c>
      <c r="I306" s="40" t="n"/>
      <c r="J306" s="44">
        <f>IF($C306="","",MAX(0,$E306*$F306-$G306))</f>
        <v/>
      </c>
      <c r="K306" s="44">
        <f>IF(OR($C306="",$I306="No"),0,ROUND($J306*IFERROR(INDEX(Shows!$F$4:$F$23,MATCH($B306,Shows!$A$4:$A$23,0)),0),2))</f>
        <v/>
      </c>
      <c r="L306" s="44">
        <f>IF($C306="","",$E306*$H306)</f>
        <v/>
      </c>
      <c r="M306" s="44">
        <f>IF($C306="","",$J306-$L306-$P306)</f>
        <v/>
      </c>
      <c r="N306" s="40" t="n"/>
      <c r="O306" s="40" t="n"/>
      <c r="P306" s="44">
        <f>IF(OR($C306="",$N306&lt;&gt;"Card"),0,ROUND(($J306+$K306)*IFERROR(INDEX(Shows!$G$4:$G$23,MATCH($B306,Shows!$A$4:$A$23,0)),0)+IFERROR(INDEX(Shows!$H$4:$H$23,MATCH($B306,Shows!$A$4:$A$23,0)),0),2))</f>
        <v/>
      </c>
      <c r="Q306" s="44">
        <f>IF($C306="","",$J306+$K306-$P306)</f>
        <v/>
      </c>
      <c r="R306" s="40" t="n"/>
      <c r="S306" s="40" t="n"/>
      <c r="T306" s="40" t="n"/>
    </row>
    <row r="307">
      <c r="A307" s="48" t="n"/>
      <c r="B307" s="34" t="n"/>
      <c r="C307" s="34" t="n"/>
      <c r="D307" s="15">
        <f>IF($C307="","",IFERROR(INDEX(Inventory!$B$4:$B$253,MATCH($C307,Inventory!$A$4:$A$253,0))&amp;" "&amp;INDEX(Inventory!$C$4:$C$253,MATCH($C307,Inventory!$A$4:$A$253,0)),"SKU not in Inventory"))</f>
        <v/>
      </c>
      <c r="E307" s="36" t="n"/>
      <c r="F307" s="35" t="n"/>
      <c r="G307" s="35" t="n"/>
      <c r="H307" s="49">
        <f>IF($C307="","",IFERROR(INDEX(Inventory!$H$4:$H$253,MATCH($C307,Inventory!$A$4:$A$253,0)),0))</f>
        <v/>
      </c>
      <c r="I307" s="34" t="n"/>
      <c r="J307" s="38">
        <f>IF($C307="","",MAX(0,$E307*$F307-$G307))</f>
        <v/>
      </c>
      <c r="K307" s="38">
        <f>IF(OR($C307="",$I307="No"),0,ROUND($J307*IFERROR(INDEX(Shows!$F$4:$F$23,MATCH($B307,Shows!$A$4:$A$23,0)),0),2))</f>
        <v/>
      </c>
      <c r="L307" s="38">
        <f>IF($C307="","",$E307*$H307)</f>
        <v/>
      </c>
      <c r="M307" s="38">
        <f>IF($C307="","",$J307-$L307-$P307)</f>
        <v/>
      </c>
      <c r="N307" s="34" t="n"/>
      <c r="O307" s="34" t="n"/>
      <c r="P307" s="38">
        <f>IF(OR($C307="",$N307&lt;&gt;"Card"),0,ROUND(($J307+$K307)*IFERROR(INDEX(Shows!$G$4:$G$23,MATCH($B307,Shows!$A$4:$A$23,0)),0)+IFERROR(INDEX(Shows!$H$4:$H$23,MATCH($B307,Shows!$A$4:$A$23,0)),0),2))</f>
        <v/>
      </c>
      <c r="Q307" s="38">
        <f>IF($C307="","",$J307+$K307-$P307)</f>
        <v/>
      </c>
      <c r="R307" s="34" t="n"/>
      <c r="S307" s="34" t="n"/>
      <c r="T307" s="34" t="n"/>
    </row>
    <row r="308">
      <c r="A308" s="46" t="n"/>
      <c r="B308" s="40" t="n"/>
      <c r="C308" s="40" t="n"/>
      <c r="D308" s="11">
        <f>IF($C308="","",IFERROR(INDEX(Inventory!$B$4:$B$253,MATCH($C308,Inventory!$A$4:$A$253,0))&amp;" "&amp;INDEX(Inventory!$C$4:$C$253,MATCH($C308,Inventory!$A$4:$A$253,0)),"SKU not in Inventory"))</f>
        <v/>
      </c>
      <c r="E308" s="42" t="n"/>
      <c r="F308" s="41" t="n"/>
      <c r="G308" s="41" t="n"/>
      <c r="H308" s="47">
        <f>IF($C308="","",IFERROR(INDEX(Inventory!$H$4:$H$253,MATCH($C308,Inventory!$A$4:$A$253,0)),0))</f>
        <v/>
      </c>
      <c r="I308" s="40" t="n"/>
      <c r="J308" s="44">
        <f>IF($C308="","",MAX(0,$E308*$F308-$G308))</f>
        <v/>
      </c>
      <c r="K308" s="44">
        <f>IF(OR($C308="",$I308="No"),0,ROUND($J308*IFERROR(INDEX(Shows!$F$4:$F$23,MATCH($B308,Shows!$A$4:$A$23,0)),0),2))</f>
        <v/>
      </c>
      <c r="L308" s="44">
        <f>IF($C308="","",$E308*$H308)</f>
        <v/>
      </c>
      <c r="M308" s="44">
        <f>IF($C308="","",$J308-$L308-$P308)</f>
        <v/>
      </c>
      <c r="N308" s="40" t="n"/>
      <c r="O308" s="40" t="n"/>
      <c r="P308" s="44">
        <f>IF(OR($C308="",$N308&lt;&gt;"Card"),0,ROUND(($J308+$K308)*IFERROR(INDEX(Shows!$G$4:$G$23,MATCH($B308,Shows!$A$4:$A$23,0)),0)+IFERROR(INDEX(Shows!$H$4:$H$23,MATCH($B308,Shows!$A$4:$A$23,0)),0),2))</f>
        <v/>
      </c>
      <c r="Q308" s="44">
        <f>IF($C308="","",$J308+$K308-$P308)</f>
        <v/>
      </c>
      <c r="R308" s="40" t="n"/>
      <c r="S308" s="40" t="n"/>
      <c r="T308" s="40" t="n"/>
    </row>
    <row r="309">
      <c r="A309" s="48" t="n"/>
      <c r="B309" s="34" t="n"/>
      <c r="C309" s="34" t="n"/>
      <c r="D309" s="15">
        <f>IF($C309="","",IFERROR(INDEX(Inventory!$B$4:$B$253,MATCH($C309,Inventory!$A$4:$A$253,0))&amp;" "&amp;INDEX(Inventory!$C$4:$C$253,MATCH($C309,Inventory!$A$4:$A$253,0)),"SKU not in Inventory"))</f>
        <v/>
      </c>
      <c r="E309" s="36" t="n"/>
      <c r="F309" s="35" t="n"/>
      <c r="G309" s="35" t="n"/>
      <c r="H309" s="49">
        <f>IF($C309="","",IFERROR(INDEX(Inventory!$H$4:$H$253,MATCH($C309,Inventory!$A$4:$A$253,0)),0))</f>
        <v/>
      </c>
      <c r="I309" s="34" t="n"/>
      <c r="J309" s="38">
        <f>IF($C309="","",MAX(0,$E309*$F309-$G309))</f>
        <v/>
      </c>
      <c r="K309" s="38">
        <f>IF(OR($C309="",$I309="No"),0,ROUND($J309*IFERROR(INDEX(Shows!$F$4:$F$23,MATCH($B309,Shows!$A$4:$A$23,0)),0),2))</f>
        <v/>
      </c>
      <c r="L309" s="38">
        <f>IF($C309="","",$E309*$H309)</f>
        <v/>
      </c>
      <c r="M309" s="38">
        <f>IF($C309="","",$J309-$L309-$P309)</f>
        <v/>
      </c>
      <c r="N309" s="34" t="n"/>
      <c r="O309" s="34" t="n"/>
      <c r="P309" s="38">
        <f>IF(OR($C309="",$N309&lt;&gt;"Card"),0,ROUND(($J309+$K309)*IFERROR(INDEX(Shows!$G$4:$G$23,MATCH($B309,Shows!$A$4:$A$23,0)),0)+IFERROR(INDEX(Shows!$H$4:$H$23,MATCH($B309,Shows!$A$4:$A$23,0)),0),2))</f>
        <v/>
      </c>
      <c r="Q309" s="38">
        <f>IF($C309="","",$J309+$K309-$P309)</f>
        <v/>
      </c>
      <c r="R309" s="34" t="n"/>
      <c r="S309" s="34" t="n"/>
      <c r="T309" s="34" t="n"/>
    </row>
    <row r="310">
      <c r="A310" s="46" t="n"/>
      <c r="B310" s="40" t="n"/>
      <c r="C310" s="40" t="n"/>
      <c r="D310" s="11">
        <f>IF($C310="","",IFERROR(INDEX(Inventory!$B$4:$B$253,MATCH($C310,Inventory!$A$4:$A$253,0))&amp;" "&amp;INDEX(Inventory!$C$4:$C$253,MATCH($C310,Inventory!$A$4:$A$253,0)),"SKU not in Inventory"))</f>
        <v/>
      </c>
      <c r="E310" s="42" t="n"/>
      <c r="F310" s="41" t="n"/>
      <c r="G310" s="41" t="n"/>
      <c r="H310" s="47">
        <f>IF($C310="","",IFERROR(INDEX(Inventory!$H$4:$H$253,MATCH($C310,Inventory!$A$4:$A$253,0)),0))</f>
        <v/>
      </c>
      <c r="I310" s="40" t="n"/>
      <c r="J310" s="44">
        <f>IF($C310="","",MAX(0,$E310*$F310-$G310))</f>
        <v/>
      </c>
      <c r="K310" s="44">
        <f>IF(OR($C310="",$I310="No"),0,ROUND($J310*IFERROR(INDEX(Shows!$F$4:$F$23,MATCH($B310,Shows!$A$4:$A$23,0)),0),2))</f>
        <v/>
      </c>
      <c r="L310" s="44">
        <f>IF($C310="","",$E310*$H310)</f>
        <v/>
      </c>
      <c r="M310" s="44">
        <f>IF($C310="","",$J310-$L310-$P310)</f>
        <v/>
      </c>
      <c r="N310" s="40" t="n"/>
      <c r="O310" s="40" t="n"/>
      <c r="P310" s="44">
        <f>IF(OR($C310="",$N310&lt;&gt;"Card"),0,ROUND(($J310+$K310)*IFERROR(INDEX(Shows!$G$4:$G$23,MATCH($B310,Shows!$A$4:$A$23,0)),0)+IFERROR(INDEX(Shows!$H$4:$H$23,MATCH($B310,Shows!$A$4:$A$23,0)),0),2))</f>
        <v/>
      </c>
      <c r="Q310" s="44">
        <f>IF($C310="","",$J310+$K310-$P310)</f>
        <v/>
      </c>
      <c r="R310" s="40" t="n"/>
      <c r="S310" s="40" t="n"/>
      <c r="T310" s="40" t="n"/>
    </row>
    <row r="311">
      <c r="A311" s="48" t="n"/>
      <c r="B311" s="34" t="n"/>
      <c r="C311" s="34" t="n"/>
      <c r="D311" s="15">
        <f>IF($C311="","",IFERROR(INDEX(Inventory!$B$4:$B$253,MATCH($C311,Inventory!$A$4:$A$253,0))&amp;" "&amp;INDEX(Inventory!$C$4:$C$253,MATCH($C311,Inventory!$A$4:$A$253,0)),"SKU not in Inventory"))</f>
        <v/>
      </c>
      <c r="E311" s="36" t="n"/>
      <c r="F311" s="35" t="n"/>
      <c r="G311" s="35" t="n"/>
      <c r="H311" s="49">
        <f>IF($C311="","",IFERROR(INDEX(Inventory!$H$4:$H$253,MATCH($C311,Inventory!$A$4:$A$253,0)),0))</f>
        <v/>
      </c>
      <c r="I311" s="34" t="n"/>
      <c r="J311" s="38">
        <f>IF($C311="","",MAX(0,$E311*$F311-$G311))</f>
        <v/>
      </c>
      <c r="K311" s="38">
        <f>IF(OR($C311="",$I311="No"),0,ROUND($J311*IFERROR(INDEX(Shows!$F$4:$F$23,MATCH($B311,Shows!$A$4:$A$23,0)),0),2))</f>
        <v/>
      </c>
      <c r="L311" s="38">
        <f>IF($C311="","",$E311*$H311)</f>
        <v/>
      </c>
      <c r="M311" s="38">
        <f>IF($C311="","",$J311-$L311-$P311)</f>
        <v/>
      </c>
      <c r="N311" s="34" t="n"/>
      <c r="O311" s="34" t="n"/>
      <c r="P311" s="38">
        <f>IF(OR($C311="",$N311&lt;&gt;"Card"),0,ROUND(($J311+$K311)*IFERROR(INDEX(Shows!$G$4:$G$23,MATCH($B311,Shows!$A$4:$A$23,0)),0)+IFERROR(INDEX(Shows!$H$4:$H$23,MATCH($B311,Shows!$A$4:$A$23,0)),0),2))</f>
        <v/>
      </c>
      <c r="Q311" s="38">
        <f>IF($C311="","",$J311+$K311-$P311)</f>
        <v/>
      </c>
      <c r="R311" s="34" t="n"/>
      <c r="S311" s="34" t="n"/>
      <c r="T311" s="34" t="n"/>
    </row>
    <row r="312">
      <c r="A312" s="46" t="n"/>
      <c r="B312" s="40" t="n"/>
      <c r="C312" s="40" t="n"/>
      <c r="D312" s="11">
        <f>IF($C312="","",IFERROR(INDEX(Inventory!$B$4:$B$253,MATCH($C312,Inventory!$A$4:$A$253,0))&amp;" "&amp;INDEX(Inventory!$C$4:$C$253,MATCH($C312,Inventory!$A$4:$A$253,0)),"SKU not in Inventory"))</f>
        <v/>
      </c>
      <c r="E312" s="42" t="n"/>
      <c r="F312" s="41" t="n"/>
      <c r="G312" s="41" t="n"/>
      <c r="H312" s="47">
        <f>IF($C312="","",IFERROR(INDEX(Inventory!$H$4:$H$253,MATCH($C312,Inventory!$A$4:$A$253,0)),0))</f>
        <v/>
      </c>
      <c r="I312" s="40" t="n"/>
      <c r="J312" s="44">
        <f>IF($C312="","",MAX(0,$E312*$F312-$G312))</f>
        <v/>
      </c>
      <c r="K312" s="44">
        <f>IF(OR($C312="",$I312="No"),0,ROUND($J312*IFERROR(INDEX(Shows!$F$4:$F$23,MATCH($B312,Shows!$A$4:$A$23,0)),0),2))</f>
        <v/>
      </c>
      <c r="L312" s="44">
        <f>IF($C312="","",$E312*$H312)</f>
        <v/>
      </c>
      <c r="M312" s="44">
        <f>IF($C312="","",$J312-$L312-$P312)</f>
        <v/>
      </c>
      <c r="N312" s="40" t="n"/>
      <c r="O312" s="40" t="n"/>
      <c r="P312" s="44">
        <f>IF(OR($C312="",$N312&lt;&gt;"Card"),0,ROUND(($J312+$K312)*IFERROR(INDEX(Shows!$G$4:$G$23,MATCH($B312,Shows!$A$4:$A$23,0)),0)+IFERROR(INDEX(Shows!$H$4:$H$23,MATCH($B312,Shows!$A$4:$A$23,0)),0),2))</f>
        <v/>
      </c>
      <c r="Q312" s="44">
        <f>IF($C312="","",$J312+$K312-$P312)</f>
        <v/>
      </c>
      <c r="R312" s="40" t="n"/>
      <c r="S312" s="40" t="n"/>
      <c r="T312" s="40" t="n"/>
    </row>
    <row r="313">
      <c r="A313" s="48" t="n"/>
      <c r="B313" s="34" t="n"/>
      <c r="C313" s="34" t="n"/>
      <c r="D313" s="15">
        <f>IF($C313="","",IFERROR(INDEX(Inventory!$B$4:$B$253,MATCH($C313,Inventory!$A$4:$A$253,0))&amp;" "&amp;INDEX(Inventory!$C$4:$C$253,MATCH($C313,Inventory!$A$4:$A$253,0)),"SKU not in Inventory"))</f>
        <v/>
      </c>
      <c r="E313" s="36" t="n"/>
      <c r="F313" s="35" t="n"/>
      <c r="G313" s="35" t="n"/>
      <c r="H313" s="49">
        <f>IF($C313="","",IFERROR(INDEX(Inventory!$H$4:$H$253,MATCH($C313,Inventory!$A$4:$A$253,0)),0))</f>
        <v/>
      </c>
      <c r="I313" s="34" t="n"/>
      <c r="J313" s="38">
        <f>IF($C313="","",MAX(0,$E313*$F313-$G313))</f>
        <v/>
      </c>
      <c r="K313" s="38">
        <f>IF(OR($C313="",$I313="No"),0,ROUND($J313*IFERROR(INDEX(Shows!$F$4:$F$23,MATCH($B313,Shows!$A$4:$A$23,0)),0),2))</f>
        <v/>
      </c>
      <c r="L313" s="38">
        <f>IF($C313="","",$E313*$H313)</f>
        <v/>
      </c>
      <c r="M313" s="38">
        <f>IF($C313="","",$J313-$L313-$P313)</f>
        <v/>
      </c>
      <c r="N313" s="34" t="n"/>
      <c r="O313" s="34" t="n"/>
      <c r="P313" s="38">
        <f>IF(OR($C313="",$N313&lt;&gt;"Card"),0,ROUND(($J313+$K313)*IFERROR(INDEX(Shows!$G$4:$G$23,MATCH($B313,Shows!$A$4:$A$23,0)),0)+IFERROR(INDEX(Shows!$H$4:$H$23,MATCH($B313,Shows!$A$4:$A$23,0)),0),2))</f>
        <v/>
      </c>
      <c r="Q313" s="38">
        <f>IF($C313="","",$J313+$K313-$P313)</f>
        <v/>
      </c>
      <c r="R313" s="34" t="n"/>
      <c r="S313" s="34" t="n"/>
      <c r="T313" s="34" t="n"/>
    </row>
    <row r="314">
      <c r="A314" s="46" t="n"/>
      <c r="B314" s="40" t="n"/>
      <c r="C314" s="40" t="n"/>
      <c r="D314" s="11">
        <f>IF($C314="","",IFERROR(INDEX(Inventory!$B$4:$B$253,MATCH($C314,Inventory!$A$4:$A$253,0))&amp;" "&amp;INDEX(Inventory!$C$4:$C$253,MATCH($C314,Inventory!$A$4:$A$253,0)),"SKU not in Inventory"))</f>
        <v/>
      </c>
      <c r="E314" s="42" t="n"/>
      <c r="F314" s="41" t="n"/>
      <c r="G314" s="41" t="n"/>
      <c r="H314" s="47">
        <f>IF($C314="","",IFERROR(INDEX(Inventory!$H$4:$H$253,MATCH($C314,Inventory!$A$4:$A$253,0)),0))</f>
        <v/>
      </c>
      <c r="I314" s="40" t="n"/>
      <c r="J314" s="44">
        <f>IF($C314="","",MAX(0,$E314*$F314-$G314))</f>
        <v/>
      </c>
      <c r="K314" s="44">
        <f>IF(OR($C314="",$I314="No"),0,ROUND($J314*IFERROR(INDEX(Shows!$F$4:$F$23,MATCH($B314,Shows!$A$4:$A$23,0)),0),2))</f>
        <v/>
      </c>
      <c r="L314" s="44">
        <f>IF($C314="","",$E314*$H314)</f>
        <v/>
      </c>
      <c r="M314" s="44">
        <f>IF($C314="","",$J314-$L314-$P314)</f>
        <v/>
      </c>
      <c r="N314" s="40" t="n"/>
      <c r="O314" s="40" t="n"/>
      <c r="P314" s="44">
        <f>IF(OR($C314="",$N314&lt;&gt;"Card"),0,ROUND(($J314+$K314)*IFERROR(INDEX(Shows!$G$4:$G$23,MATCH($B314,Shows!$A$4:$A$23,0)),0)+IFERROR(INDEX(Shows!$H$4:$H$23,MATCH($B314,Shows!$A$4:$A$23,0)),0),2))</f>
        <v/>
      </c>
      <c r="Q314" s="44">
        <f>IF($C314="","",$J314+$K314-$P314)</f>
        <v/>
      </c>
      <c r="R314" s="40" t="n"/>
      <c r="S314" s="40" t="n"/>
      <c r="T314" s="40" t="n"/>
    </row>
    <row r="315">
      <c r="A315" s="48" t="n"/>
      <c r="B315" s="34" t="n"/>
      <c r="C315" s="34" t="n"/>
      <c r="D315" s="15">
        <f>IF($C315="","",IFERROR(INDEX(Inventory!$B$4:$B$253,MATCH($C315,Inventory!$A$4:$A$253,0))&amp;" "&amp;INDEX(Inventory!$C$4:$C$253,MATCH($C315,Inventory!$A$4:$A$253,0)),"SKU not in Inventory"))</f>
        <v/>
      </c>
      <c r="E315" s="36" t="n"/>
      <c r="F315" s="35" t="n"/>
      <c r="G315" s="35" t="n"/>
      <c r="H315" s="49">
        <f>IF($C315="","",IFERROR(INDEX(Inventory!$H$4:$H$253,MATCH($C315,Inventory!$A$4:$A$253,0)),0))</f>
        <v/>
      </c>
      <c r="I315" s="34" t="n"/>
      <c r="J315" s="38">
        <f>IF($C315="","",MAX(0,$E315*$F315-$G315))</f>
        <v/>
      </c>
      <c r="K315" s="38">
        <f>IF(OR($C315="",$I315="No"),0,ROUND($J315*IFERROR(INDEX(Shows!$F$4:$F$23,MATCH($B315,Shows!$A$4:$A$23,0)),0),2))</f>
        <v/>
      </c>
      <c r="L315" s="38">
        <f>IF($C315="","",$E315*$H315)</f>
        <v/>
      </c>
      <c r="M315" s="38">
        <f>IF($C315="","",$J315-$L315-$P315)</f>
        <v/>
      </c>
      <c r="N315" s="34" t="n"/>
      <c r="O315" s="34" t="n"/>
      <c r="P315" s="38">
        <f>IF(OR($C315="",$N315&lt;&gt;"Card"),0,ROUND(($J315+$K315)*IFERROR(INDEX(Shows!$G$4:$G$23,MATCH($B315,Shows!$A$4:$A$23,0)),0)+IFERROR(INDEX(Shows!$H$4:$H$23,MATCH($B315,Shows!$A$4:$A$23,0)),0),2))</f>
        <v/>
      </c>
      <c r="Q315" s="38">
        <f>IF($C315="","",$J315+$K315-$P315)</f>
        <v/>
      </c>
      <c r="R315" s="34" t="n"/>
      <c r="S315" s="34" t="n"/>
      <c r="T315" s="34" t="n"/>
    </row>
    <row r="316">
      <c r="A316" s="46" t="n"/>
      <c r="B316" s="40" t="n"/>
      <c r="C316" s="40" t="n"/>
      <c r="D316" s="11">
        <f>IF($C316="","",IFERROR(INDEX(Inventory!$B$4:$B$253,MATCH($C316,Inventory!$A$4:$A$253,0))&amp;" "&amp;INDEX(Inventory!$C$4:$C$253,MATCH($C316,Inventory!$A$4:$A$253,0)),"SKU not in Inventory"))</f>
        <v/>
      </c>
      <c r="E316" s="42" t="n"/>
      <c r="F316" s="41" t="n"/>
      <c r="G316" s="41" t="n"/>
      <c r="H316" s="47">
        <f>IF($C316="","",IFERROR(INDEX(Inventory!$H$4:$H$253,MATCH($C316,Inventory!$A$4:$A$253,0)),0))</f>
        <v/>
      </c>
      <c r="I316" s="40" t="n"/>
      <c r="J316" s="44">
        <f>IF($C316="","",MAX(0,$E316*$F316-$G316))</f>
        <v/>
      </c>
      <c r="K316" s="44">
        <f>IF(OR($C316="",$I316="No"),0,ROUND($J316*IFERROR(INDEX(Shows!$F$4:$F$23,MATCH($B316,Shows!$A$4:$A$23,0)),0),2))</f>
        <v/>
      </c>
      <c r="L316" s="44">
        <f>IF($C316="","",$E316*$H316)</f>
        <v/>
      </c>
      <c r="M316" s="44">
        <f>IF($C316="","",$J316-$L316-$P316)</f>
        <v/>
      </c>
      <c r="N316" s="40" t="n"/>
      <c r="O316" s="40" t="n"/>
      <c r="P316" s="44">
        <f>IF(OR($C316="",$N316&lt;&gt;"Card"),0,ROUND(($J316+$K316)*IFERROR(INDEX(Shows!$G$4:$G$23,MATCH($B316,Shows!$A$4:$A$23,0)),0)+IFERROR(INDEX(Shows!$H$4:$H$23,MATCH($B316,Shows!$A$4:$A$23,0)),0),2))</f>
        <v/>
      </c>
      <c r="Q316" s="44">
        <f>IF($C316="","",$J316+$K316-$P316)</f>
        <v/>
      </c>
      <c r="R316" s="40" t="n"/>
      <c r="S316" s="40" t="n"/>
      <c r="T316" s="40" t="n"/>
    </row>
    <row r="317">
      <c r="A317" s="48" t="n"/>
      <c r="B317" s="34" t="n"/>
      <c r="C317" s="34" t="n"/>
      <c r="D317" s="15">
        <f>IF($C317="","",IFERROR(INDEX(Inventory!$B$4:$B$253,MATCH($C317,Inventory!$A$4:$A$253,0))&amp;" "&amp;INDEX(Inventory!$C$4:$C$253,MATCH($C317,Inventory!$A$4:$A$253,0)),"SKU not in Inventory"))</f>
        <v/>
      </c>
      <c r="E317" s="36" t="n"/>
      <c r="F317" s="35" t="n"/>
      <c r="G317" s="35" t="n"/>
      <c r="H317" s="49">
        <f>IF($C317="","",IFERROR(INDEX(Inventory!$H$4:$H$253,MATCH($C317,Inventory!$A$4:$A$253,0)),0))</f>
        <v/>
      </c>
      <c r="I317" s="34" t="n"/>
      <c r="J317" s="38">
        <f>IF($C317="","",MAX(0,$E317*$F317-$G317))</f>
        <v/>
      </c>
      <c r="K317" s="38">
        <f>IF(OR($C317="",$I317="No"),0,ROUND($J317*IFERROR(INDEX(Shows!$F$4:$F$23,MATCH($B317,Shows!$A$4:$A$23,0)),0),2))</f>
        <v/>
      </c>
      <c r="L317" s="38">
        <f>IF($C317="","",$E317*$H317)</f>
        <v/>
      </c>
      <c r="M317" s="38">
        <f>IF($C317="","",$J317-$L317-$P317)</f>
        <v/>
      </c>
      <c r="N317" s="34" t="n"/>
      <c r="O317" s="34" t="n"/>
      <c r="P317" s="38">
        <f>IF(OR($C317="",$N317&lt;&gt;"Card"),0,ROUND(($J317+$K317)*IFERROR(INDEX(Shows!$G$4:$G$23,MATCH($B317,Shows!$A$4:$A$23,0)),0)+IFERROR(INDEX(Shows!$H$4:$H$23,MATCH($B317,Shows!$A$4:$A$23,0)),0),2))</f>
        <v/>
      </c>
      <c r="Q317" s="38">
        <f>IF($C317="","",$J317+$K317-$P317)</f>
        <v/>
      </c>
      <c r="R317" s="34" t="n"/>
      <c r="S317" s="34" t="n"/>
      <c r="T317" s="34" t="n"/>
    </row>
    <row r="318">
      <c r="A318" s="46" t="n"/>
      <c r="B318" s="40" t="n"/>
      <c r="C318" s="40" t="n"/>
      <c r="D318" s="11">
        <f>IF($C318="","",IFERROR(INDEX(Inventory!$B$4:$B$253,MATCH($C318,Inventory!$A$4:$A$253,0))&amp;" "&amp;INDEX(Inventory!$C$4:$C$253,MATCH($C318,Inventory!$A$4:$A$253,0)),"SKU not in Inventory"))</f>
        <v/>
      </c>
      <c r="E318" s="42" t="n"/>
      <c r="F318" s="41" t="n"/>
      <c r="G318" s="41" t="n"/>
      <c r="H318" s="47">
        <f>IF($C318="","",IFERROR(INDEX(Inventory!$H$4:$H$253,MATCH($C318,Inventory!$A$4:$A$253,0)),0))</f>
        <v/>
      </c>
      <c r="I318" s="40" t="n"/>
      <c r="J318" s="44">
        <f>IF($C318="","",MAX(0,$E318*$F318-$G318))</f>
        <v/>
      </c>
      <c r="K318" s="44">
        <f>IF(OR($C318="",$I318="No"),0,ROUND($J318*IFERROR(INDEX(Shows!$F$4:$F$23,MATCH($B318,Shows!$A$4:$A$23,0)),0),2))</f>
        <v/>
      </c>
      <c r="L318" s="44">
        <f>IF($C318="","",$E318*$H318)</f>
        <v/>
      </c>
      <c r="M318" s="44">
        <f>IF($C318="","",$J318-$L318-$P318)</f>
        <v/>
      </c>
      <c r="N318" s="40" t="n"/>
      <c r="O318" s="40" t="n"/>
      <c r="P318" s="44">
        <f>IF(OR($C318="",$N318&lt;&gt;"Card"),0,ROUND(($J318+$K318)*IFERROR(INDEX(Shows!$G$4:$G$23,MATCH($B318,Shows!$A$4:$A$23,0)),0)+IFERROR(INDEX(Shows!$H$4:$H$23,MATCH($B318,Shows!$A$4:$A$23,0)),0),2))</f>
        <v/>
      </c>
      <c r="Q318" s="44">
        <f>IF($C318="","",$J318+$K318-$P318)</f>
        <v/>
      </c>
      <c r="R318" s="40" t="n"/>
      <c r="S318" s="40" t="n"/>
      <c r="T318" s="40" t="n"/>
    </row>
    <row r="319">
      <c r="A319" s="48" t="n"/>
      <c r="B319" s="34" t="n"/>
      <c r="C319" s="34" t="n"/>
      <c r="D319" s="15">
        <f>IF($C319="","",IFERROR(INDEX(Inventory!$B$4:$B$253,MATCH($C319,Inventory!$A$4:$A$253,0))&amp;" "&amp;INDEX(Inventory!$C$4:$C$253,MATCH($C319,Inventory!$A$4:$A$253,0)),"SKU not in Inventory"))</f>
        <v/>
      </c>
      <c r="E319" s="36" t="n"/>
      <c r="F319" s="35" t="n"/>
      <c r="G319" s="35" t="n"/>
      <c r="H319" s="49">
        <f>IF($C319="","",IFERROR(INDEX(Inventory!$H$4:$H$253,MATCH($C319,Inventory!$A$4:$A$253,0)),0))</f>
        <v/>
      </c>
      <c r="I319" s="34" t="n"/>
      <c r="J319" s="38">
        <f>IF($C319="","",MAX(0,$E319*$F319-$G319))</f>
        <v/>
      </c>
      <c r="K319" s="38">
        <f>IF(OR($C319="",$I319="No"),0,ROUND($J319*IFERROR(INDEX(Shows!$F$4:$F$23,MATCH($B319,Shows!$A$4:$A$23,0)),0),2))</f>
        <v/>
      </c>
      <c r="L319" s="38">
        <f>IF($C319="","",$E319*$H319)</f>
        <v/>
      </c>
      <c r="M319" s="38">
        <f>IF($C319="","",$J319-$L319-$P319)</f>
        <v/>
      </c>
      <c r="N319" s="34" t="n"/>
      <c r="O319" s="34" t="n"/>
      <c r="P319" s="38">
        <f>IF(OR($C319="",$N319&lt;&gt;"Card"),0,ROUND(($J319+$K319)*IFERROR(INDEX(Shows!$G$4:$G$23,MATCH($B319,Shows!$A$4:$A$23,0)),0)+IFERROR(INDEX(Shows!$H$4:$H$23,MATCH($B319,Shows!$A$4:$A$23,0)),0),2))</f>
        <v/>
      </c>
      <c r="Q319" s="38">
        <f>IF($C319="","",$J319+$K319-$P319)</f>
        <v/>
      </c>
      <c r="R319" s="34" t="n"/>
      <c r="S319" s="34" t="n"/>
      <c r="T319" s="34" t="n"/>
    </row>
    <row r="320">
      <c r="A320" s="46" t="n"/>
      <c r="B320" s="40" t="n"/>
      <c r="C320" s="40" t="n"/>
      <c r="D320" s="11">
        <f>IF($C320="","",IFERROR(INDEX(Inventory!$B$4:$B$253,MATCH($C320,Inventory!$A$4:$A$253,0))&amp;" "&amp;INDEX(Inventory!$C$4:$C$253,MATCH($C320,Inventory!$A$4:$A$253,0)),"SKU not in Inventory"))</f>
        <v/>
      </c>
      <c r="E320" s="42" t="n"/>
      <c r="F320" s="41" t="n"/>
      <c r="G320" s="41" t="n"/>
      <c r="H320" s="47">
        <f>IF($C320="","",IFERROR(INDEX(Inventory!$H$4:$H$253,MATCH($C320,Inventory!$A$4:$A$253,0)),0))</f>
        <v/>
      </c>
      <c r="I320" s="40" t="n"/>
      <c r="J320" s="44">
        <f>IF($C320="","",MAX(0,$E320*$F320-$G320))</f>
        <v/>
      </c>
      <c r="K320" s="44">
        <f>IF(OR($C320="",$I320="No"),0,ROUND($J320*IFERROR(INDEX(Shows!$F$4:$F$23,MATCH($B320,Shows!$A$4:$A$23,0)),0),2))</f>
        <v/>
      </c>
      <c r="L320" s="44">
        <f>IF($C320="","",$E320*$H320)</f>
        <v/>
      </c>
      <c r="M320" s="44">
        <f>IF($C320="","",$J320-$L320-$P320)</f>
        <v/>
      </c>
      <c r="N320" s="40" t="n"/>
      <c r="O320" s="40" t="n"/>
      <c r="P320" s="44">
        <f>IF(OR($C320="",$N320&lt;&gt;"Card"),0,ROUND(($J320+$K320)*IFERROR(INDEX(Shows!$G$4:$G$23,MATCH($B320,Shows!$A$4:$A$23,0)),0)+IFERROR(INDEX(Shows!$H$4:$H$23,MATCH($B320,Shows!$A$4:$A$23,0)),0),2))</f>
        <v/>
      </c>
      <c r="Q320" s="44">
        <f>IF($C320="","",$J320+$K320-$P320)</f>
        <v/>
      </c>
      <c r="R320" s="40" t="n"/>
      <c r="S320" s="40" t="n"/>
      <c r="T320" s="40" t="n"/>
    </row>
    <row r="321">
      <c r="A321" s="48" t="n"/>
      <c r="B321" s="34" t="n"/>
      <c r="C321" s="34" t="n"/>
      <c r="D321" s="15">
        <f>IF($C321="","",IFERROR(INDEX(Inventory!$B$4:$B$253,MATCH($C321,Inventory!$A$4:$A$253,0))&amp;" "&amp;INDEX(Inventory!$C$4:$C$253,MATCH($C321,Inventory!$A$4:$A$253,0)),"SKU not in Inventory"))</f>
        <v/>
      </c>
      <c r="E321" s="36" t="n"/>
      <c r="F321" s="35" t="n"/>
      <c r="G321" s="35" t="n"/>
      <c r="H321" s="49">
        <f>IF($C321="","",IFERROR(INDEX(Inventory!$H$4:$H$253,MATCH($C321,Inventory!$A$4:$A$253,0)),0))</f>
        <v/>
      </c>
      <c r="I321" s="34" t="n"/>
      <c r="J321" s="38">
        <f>IF($C321="","",MAX(0,$E321*$F321-$G321))</f>
        <v/>
      </c>
      <c r="K321" s="38">
        <f>IF(OR($C321="",$I321="No"),0,ROUND($J321*IFERROR(INDEX(Shows!$F$4:$F$23,MATCH($B321,Shows!$A$4:$A$23,0)),0),2))</f>
        <v/>
      </c>
      <c r="L321" s="38">
        <f>IF($C321="","",$E321*$H321)</f>
        <v/>
      </c>
      <c r="M321" s="38">
        <f>IF($C321="","",$J321-$L321-$P321)</f>
        <v/>
      </c>
      <c r="N321" s="34" t="n"/>
      <c r="O321" s="34" t="n"/>
      <c r="P321" s="38">
        <f>IF(OR($C321="",$N321&lt;&gt;"Card"),0,ROUND(($J321+$K321)*IFERROR(INDEX(Shows!$G$4:$G$23,MATCH($B321,Shows!$A$4:$A$23,0)),0)+IFERROR(INDEX(Shows!$H$4:$H$23,MATCH($B321,Shows!$A$4:$A$23,0)),0),2))</f>
        <v/>
      </c>
      <c r="Q321" s="38">
        <f>IF($C321="","",$J321+$K321-$P321)</f>
        <v/>
      </c>
      <c r="R321" s="34" t="n"/>
      <c r="S321" s="34" t="n"/>
      <c r="T321" s="34" t="n"/>
    </row>
    <row r="322">
      <c r="A322" s="46" t="n"/>
      <c r="B322" s="40" t="n"/>
      <c r="C322" s="40" t="n"/>
      <c r="D322" s="11">
        <f>IF($C322="","",IFERROR(INDEX(Inventory!$B$4:$B$253,MATCH($C322,Inventory!$A$4:$A$253,0))&amp;" "&amp;INDEX(Inventory!$C$4:$C$253,MATCH($C322,Inventory!$A$4:$A$253,0)),"SKU not in Inventory"))</f>
        <v/>
      </c>
      <c r="E322" s="42" t="n"/>
      <c r="F322" s="41" t="n"/>
      <c r="G322" s="41" t="n"/>
      <c r="H322" s="47">
        <f>IF($C322="","",IFERROR(INDEX(Inventory!$H$4:$H$253,MATCH($C322,Inventory!$A$4:$A$253,0)),0))</f>
        <v/>
      </c>
      <c r="I322" s="40" t="n"/>
      <c r="J322" s="44">
        <f>IF($C322="","",MAX(0,$E322*$F322-$G322))</f>
        <v/>
      </c>
      <c r="K322" s="44">
        <f>IF(OR($C322="",$I322="No"),0,ROUND($J322*IFERROR(INDEX(Shows!$F$4:$F$23,MATCH($B322,Shows!$A$4:$A$23,0)),0),2))</f>
        <v/>
      </c>
      <c r="L322" s="44">
        <f>IF($C322="","",$E322*$H322)</f>
        <v/>
      </c>
      <c r="M322" s="44">
        <f>IF($C322="","",$J322-$L322-$P322)</f>
        <v/>
      </c>
      <c r="N322" s="40" t="n"/>
      <c r="O322" s="40" t="n"/>
      <c r="P322" s="44">
        <f>IF(OR($C322="",$N322&lt;&gt;"Card"),0,ROUND(($J322+$K322)*IFERROR(INDEX(Shows!$G$4:$G$23,MATCH($B322,Shows!$A$4:$A$23,0)),0)+IFERROR(INDEX(Shows!$H$4:$H$23,MATCH($B322,Shows!$A$4:$A$23,0)),0),2))</f>
        <v/>
      </c>
      <c r="Q322" s="44">
        <f>IF($C322="","",$J322+$K322-$P322)</f>
        <v/>
      </c>
      <c r="R322" s="40" t="n"/>
      <c r="S322" s="40" t="n"/>
      <c r="T322" s="40" t="n"/>
    </row>
    <row r="323">
      <c r="A323" s="48" t="n"/>
      <c r="B323" s="34" t="n"/>
      <c r="C323" s="34" t="n"/>
      <c r="D323" s="15">
        <f>IF($C323="","",IFERROR(INDEX(Inventory!$B$4:$B$253,MATCH($C323,Inventory!$A$4:$A$253,0))&amp;" "&amp;INDEX(Inventory!$C$4:$C$253,MATCH($C323,Inventory!$A$4:$A$253,0)),"SKU not in Inventory"))</f>
        <v/>
      </c>
      <c r="E323" s="36" t="n"/>
      <c r="F323" s="35" t="n"/>
      <c r="G323" s="35" t="n"/>
      <c r="H323" s="49">
        <f>IF($C323="","",IFERROR(INDEX(Inventory!$H$4:$H$253,MATCH($C323,Inventory!$A$4:$A$253,0)),0))</f>
        <v/>
      </c>
      <c r="I323" s="34" t="n"/>
      <c r="J323" s="38">
        <f>IF($C323="","",MAX(0,$E323*$F323-$G323))</f>
        <v/>
      </c>
      <c r="K323" s="38">
        <f>IF(OR($C323="",$I323="No"),0,ROUND($J323*IFERROR(INDEX(Shows!$F$4:$F$23,MATCH($B323,Shows!$A$4:$A$23,0)),0),2))</f>
        <v/>
      </c>
      <c r="L323" s="38">
        <f>IF($C323="","",$E323*$H323)</f>
        <v/>
      </c>
      <c r="M323" s="38">
        <f>IF($C323="","",$J323-$L323-$P323)</f>
        <v/>
      </c>
      <c r="N323" s="34" t="n"/>
      <c r="O323" s="34" t="n"/>
      <c r="P323" s="38">
        <f>IF(OR($C323="",$N323&lt;&gt;"Card"),0,ROUND(($J323+$K323)*IFERROR(INDEX(Shows!$G$4:$G$23,MATCH($B323,Shows!$A$4:$A$23,0)),0)+IFERROR(INDEX(Shows!$H$4:$H$23,MATCH($B323,Shows!$A$4:$A$23,0)),0),2))</f>
        <v/>
      </c>
      <c r="Q323" s="38">
        <f>IF($C323="","",$J323+$K323-$P323)</f>
        <v/>
      </c>
      <c r="R323" s="34" t="n"/>
      <c r="S323" s="34" t="n"/>
      <c r="T323" s="34" t="n"/>
    </row>
    <row r="324">
      <c r="A324" s="46" t="n"/>
      <c r="B324" s="40" t="n"/>
      <c r="C324" s="40" t="n"/>
      <c r="D324" s="11">
        <f>IF($C324="","",IFERROR(INDEX(Inventory!$B$4:$B$253,MATCH($C324,Inventory!$A$4:$A$253,0))&amp;" "&amp;INDEX(Inventory!$C$4:$C$253,MATCH($C324,Inventory!$A$4:$A$253,0)),"SKU not in Inventory"))</f>
        <v/>
      </c>
      <c r="E324" s="42" t="n"/>
      <c r="F324" s="41" t="n"/>
      <c r="G324" s="41" t="n"/>
      <c r="H324" s="47">
        <f>IF($C324="","",IFERROR(INDEX(Inventory!$H$4:$H$253,MATCH($C324,Inventory!$A$4:$A$253,0)),0))</f>
        <v/>
      </c>
      <c r="I324" s="40" t="n"/>
      <c r="J324" s="44">
        <f>IF($C324="","",MAX(0,$E324*$F324-$G324))</f>
        <v/>
      </c>
      <c r="K324" s="44">
        <f>IF(OR($C324="",$I324="No"),0,ROUND($J324*IFERROR(INDEX(Shows!$F$4:$F$23,MATCH($B324,Shows!$A$4:$A$23,0)),0),2))</f>
        <v/>
      </c>
      <c r="L324" s="44">
        <f>IF($C324="","",$E324*$H324)</f>
        <v/>
      </c>
      <c r="M324" s="44">
        <f>IF($C324="","",$J324-$L324-$P324)</f>
        <v/>
      </c>
      <c r="N324" s="40" t="n"/>
      <c r="O324" s="40" t="n"/>
      <c r="P324" s="44">
        <f>IF(OR($C324="",$N324&lt;&gt;"Card"),0,ROUND(($J324+$K324)*IFERROR(INDEX(Shows!$G$4:$G$23,MATCH($B324,Shows!$A$4:$A$23,0)),0)+IFERROR(INDEX(Shows!$H$4:$H$23,MATCH($B324,Shows!$A$4:$A$23,0)),0),2))</f>
        <v/>
      </c>
      <c r="Q324" s="44">
        <f>IF($C324="","",$J324+$K324-$P324)</f>
        <v/>
      </c>
      <c r="R324" s="40" t="n"/>
      <c r="S324" s="40" t="n"/>
      <c r="T324" s="40" t="n"/>
    </row>
    <row r="325">
      <c r="A325" s="48" t="n"/>
      <c r="B325" s="34" t="n"/>
      <c r="C325" s="34" t="n"/>
      <c r="D325" s="15">
        <f>IF($C325="","",IFERROR(INDEX(Inventory!$B$4:$B$253,MATCH($C325,Inventory!$A$4:$A$253,0))&amp;" "&amp;INDEX(Inventory!$C$4:$C$253,MATCH($C325,Inventory!$A$4:$A$253,0)),"SKU not in Inventory"))</f>
        <v/>
      </c>
      <c r="E325" s="36" t="n"/>
      <c r="F325" s="35" t="n"/>
      <c r="G325" s="35" t="n"/>
      <c r="H325" s="49">
        <f>IF($C325="","",IFERROR(INDEX(Inventory!$H$4:$H$253,MATCH($C325,Inventory!$A$4:$A$253,0)),0))</f>
        <v/>
      </c>
      <c r="I325" s="34" t="n"/>
      <c r="J325" s="38">
        <f>IF($C325="","",MAX(0,$E325*$F325-$G325))</f>
        <v/>
      </c>
      <c r="K325" s="38">
        <f>IF(OR($C325="",$I325="No"),0,ROUND($J325*IFERROR(INDEX(Shows!$F$4:$F$23,MATCH($B325,Shows!$A$4:$A$23,0)),0),2))</f>
        <v/>
      </c>
      <c r="L325" s="38">
        <f>IF($C325="","",$E325*$H325)</f>
        <v/>
      </c>
      <c r="M325" s="38">
        <f>IF($C325="","",$J325-$L325-$P325)</f>
        <v/>
      </c>
      <c r="N325" s="34" t="n"/>
      <c r="O325" s="34" t="n"/>
      <c r="P325" s="38">
        <f>IF(OR($C325="",$N325&lt;&gt;"Card"),0,ROUND(($J325+$K325)*IFERROR(INDEX(Shows!$G$4:$G$23,MATCH($B325,Shows!$A$4:$A$23,0)),0)+IFERROR(INDEX(Shows!$H$4:$H$23,MATCH($B325,Shows!$A$4:$A$23,0)),0),2))</f>
        <v/>
      </c>
      <c r="Q325" s="38">
        <f>IF($C325="","",$J325+$K325-$P325)</f>
        <v/>
      </c>
      <c r="R325" s="34" t="n"/>
      <c r="S325" s="34" t="n"/>
      <c r="T325" s="34" t="n"/>
    </row>
    <row r="326">
      <c r="A326" s="46" t="n"/>
      <c r="B326" s="40" t="n"/>
      <c r="C326" s="40" t="n"/>
      <c r="D326" s="11">
        <f>IF($C326="","",IFERROR(INDEX(Inventory!$B$4:$B$253,MATCH($C326,Inventory!$A$4:$A$253,0))&amp;" "&amp;INDEX(Inventory!$C$4:$C$253,MATCH($C326,Inventory!$A$4:$A$253,0)),"SKU not in Inventory"))</f>
        <v/>
      </c>
      <c r="E326" s="42" t="n"/>
      <c r="F326" s="41" t="n"/>
      <c r="G326" s="41" t="n"/>
      <c r="H326" s="47">
        <f>IF($C326="","",IFERROR(INDEX(Inventory!$H$4:$H$253,MATCH($C326,Inventory!$A$4:$A$253,0)),0))</f>
        <v/>
      </c>
      <c r="I326" s="40" t="n"/>
      <c r="J326" s="44">
        <f>IF($C326="","",MAX(0,$E326*$F326-$G326))</f>
        <v/>
      </c>
      <c r="K326" s="44">
        <f>IF(OR($C326="",$I326="No"),0,ROUND($J326*IFERROR(INDEX(Shows!$F$4:$F$23,MATCH($B326,Shows!$A$4:$A$23,0)),0),2))</f>
        <v/>
      </c>
      <c r="L326" s="44">
        <f>IF($C326="","",$E326*$H326)</f>
        <v/>
      </c>
      <c r="M326" s="44">
        <f>IF($C326="","",$J326-$L326-$P326)</f>
        <v/>
      </c>
      <c r="N326" s="40" t="n"/>
      <c r="O326" s="40" t="n"/>
      <c r="P326" s="44">
        <f>IF(OR($C326="",$N326&lt;&gt;"Card"),0,ROUND(($J326+$K326)*IFERROR(INDEX(Shows!$G$4:$G$23,MATCH($B326,Shows!$A$4:$A$23,0)),0)+IFERROR(INDEX(Shows!$H$4:$H$23,MATCH($B326,Shows!$A$4:$A$23,0)),0),2))</f>
        <v/>
      </c>
      <c r="Q326" s="44">
        <f>IF($C326="","",$J326+$K326-$P326)</f>
        <v/>
      </c>
      <c r="R326" s="40" t="n"/>
      <c r="S326" s="40" t="n"/>
      <c r="T326" s="40" t="n"/>
    </row>
    <row r="327">
      <c r="A327" s="48" t="n"/>
      <c r="B327" s="34" t="n"/>
      <c r="C327" s="34" t="n"/>
      <c r="D327" s="15">
        <f>IF($C327="","",IFERROR(INDEX(Inventory!$B$4:$B$253,MATCH($C327,Inventory!$A$4:$A$253,0))&amp;" "&amp;INDEX(Inventory!$C$4:$C$253,MATCH($C327,Inventory!$A$4:$A$253,0)),"SKU not in Inventory"))</f>
        <v/>
      </c>
      <c r="E327" s="36" t="n"/>
      <c r="F327" s="35" t="n"/>
      <c r="G327" s="35" t="n"/>
      <c r="H327" s="49">
        <f>IF($C327="","",IFERROR(INDEX(Inventory!$H$4:$H$253,MATCH($C327,Inventory!$A$4:$A$253,0)),0))</f>
        <v/>
      </c>
      <c r="I327" s="34" t="n"/>
      <c r="J327" s="38">
        <f>IF($C327="","",MAX(0,$E327*$F327-$G327))</f>
        <v/>
      </c>
      <c r="K327" s="38">
        <f>IF(OR($C327="",$I327="No"),0,ROUND($J327*IFERROR(INDEX(Shows!$F$4:$F$23,MATCH($B327,Shows!$A$4:$A$23,0)),0),2))</f>
        <v/>
      </c>
      <c r="L327" s="38">
        <f>IF($C327="","",$E327*$H327)</f>
        <v/>
      </c>
      <c r="M327" s="38">
        <f>IF($C327="","",$J327-$L327-$P327)</f>
        <v/>
      </c>
      <c r="N327" s="34" t="n"/>
      <c r="O327" s="34" t="n"/>
      <c r="P327" s="38">
        <f>IF(OR($C327="",$N327&lt;&gt;"Card"),0,ROUND(($J327+$K327)*IFERROR(INDEX(Shows!$G$4:$G$23,MATCH($B327,Shows!$A$4:$A$23,0)),0)+IFERROR(INDEX(Shows!$H$4:$H$23,MATCH($B327,Shows!$A$4:$A$23,0)),0),2))</f>
        <v/>
      </c>
      <c r="Q327" s="38">
        <f>IF($C327="","",$J327+$K327-$P327)</f>
        <v/>
      </c>
      <c r="R327" s="34" t="n"/>
      <c r="S327" s="34" t="n"/>
      <c r="T327" s="34" t="n"/>
    </row>
    <row r="328">
      <c r="A328" s="46" t="n"/>
      <c r="B328" s="40" t="n"/>
      <c r="C328" s="40" t="n"/>
      <c r="D328" s="11">
        <f>IF($C328="","",IFERROR(INDEX(Inventory!$B$4:$B$253,MATCH($C328,Inventory!$A$4:$A$253,0))&amp;" "&amp;INDEX(Inventory!$C$4:$C$253,MATCH($C328,Inventory!$A$4:$A$253,0)),"SKU not in Inventory"))</f>
        <v/>
      </c>
      <c r="E328" s="42" t="n"/>
      <c r="F328" s="41" t="n"/>
      <c r="G328" s="41" t="n"/>
      <c r="H328" s="47">
        <f>IF($C328="","",IFERROR(INDEX(Inventory!$H$4:$H$253,MATCH($C328,Inventory!$A$4:$A$253,0)),0))</f>
        <v/>
      </c>
      <c r="I328" s="40" t="n"/>
      <c r="J328" s="44">
        <f>IF($C328="","",MAX(0,$E328*$F328-$G328))</f>
        <v/>
      </c>
      <c r="K328" s="44">
        <f>IF(OR($C328="",$I328="No"),0,ROUND($J328*IFERROR(INDEX(Shows!$F$4:$F$23,MATCH($B328,Shows!$A$4:$A$23,0)),0),2))</f>
        <v/>
      </c>
      <c r="L328" s="44">
        <f>IF($C328="","",$E328*$H328)</f>
        <v/>
      </c>
      <c r="M328" s="44">
        <f>IF($C328="","",$J328-$L328-$P328)</f>
        <v/>
      </c>
      <c r="N328" s="40" t="n"/>
      <c r="O328" s="40" t="n"/>
      <c r="P328" s="44">
        <f>IF(OR($C328="",$N328&lt;&gt;"Card"),0,ROUND(($J328+$K328)*IFERROR(INDEX(Shows!$G$4:$G$23,MATCH($B328,Shows!$A$4:$A$23,0)),0)+IFERROR(INDEX(Shows!$H$4:$H$23,MATCH($B328,Shows!$A$4:$A$23,0)),0),2))</f>
        <v/>
      </c>
      <c r="Q328" s="44">
        <f>IF($C328="","",$J328+$K328-$P328)</f>
        <v/>
      </c>
      <c r="R328" s="40" t="n"/>
      <c r="S328" s="40" t="n"/>
      <c r="T328" s="40" t="n"/>
    </row>
    <row r="329">
      <c r="A329" s="48" t="n"/>
      <c r="B329" s="34" t="n"/>
      <c r="C329" s="34" t="n"/>
      <c r="D329" s="15">
        <f>IF($C329="","",IFERROR(INDEX(Inventory!$B$4:$B$253,MATCH($C329,Inventory!$A$4:$A$253,0))&amp;" "&amp;INDEX(Inventory!$C$4:$C$253,MATCH($C329,Inventory!$A$4:$A$253,0)),"SKU not in Inventory"))</f>
        <v/>
      </c>
      <c r="E329" s="36" t="n"/>
      <c r="F329" s="35" t="n"/>
      <c r="G329" s="35" t="n"/>
      <c r="H329" s="49">
        <f>IF($C329="","",IFERROR(INDEX(Inventory!$H$4:$H$253,MATCH($C329,Inventory!$A$4:$A$253,0)),0))</f>
        <v/>
      </c>
      <c r="I329" s="34" t="n"/>
      <c r="J329" s="38">
        <f>IF($C329="","",MAX(0,$E329*$F329-$G329))</f>
        <v/>
      </c>
      <c r="K329" s="38">
        <f>IF(OR($C329="",$I329="No"),0,ROUND($J329*IFERROR(INDEX(Shows!$F$4:$F$23,MATCH($B329,Shows!$A$4:$A$23,0)),0),2))</f>
        <v/>
      </c>
      <c r="L329" s="38">
        <f>IF($C329="","",$E329*$H329)</f>
        <v/>
      </c>
      <c r="M329" s="38">
        <f>IF($C329="","",$J329-$L329-$P329)</f>
        <v/>
      </c>
      <c r="N329" s="34" t="n"/>
      <c r="O329" s="34" t="n"/>
      <c r="P329" s="38">
        <f>IF(OR($C329="",$N329&lt;&gt;"Card"),0,ROUND(($J329+$K329)*IFERROR(INDEX(Shows!$G$4:$G$23,MATCH($B329,Shows!$A$4:$A$23,0)),0)+IFERROR(INDEX(Shows!$H$4:$H$23,MATCH($B329,Shows!$A$4:$A$23,0)),0),2))</f>
        <v/>
      </c>
      <c r="Q329" s="38">
        <f>IF($C329="","",$J329+$K329-$P329)</f>
        <v/>
      </c>
      <c r="R329" s="34" t="n"/>
      <c r="S329" s="34" t="n"/>
      <c r="T329" s="34" t="n"/>
    </row>
    <row r="330">
      <c r="A330" s="46" t="n"/>
      <c r="B330" s="40" t="n"/>
      <c r="C330" s="40" t="n"/>
      <c r="D330" s="11">
        <f>IF($C330="","",IFERROR(INDEX(Inventory!$B$4:$B$253,MATCH($C330,Inventory!$A$4:$A$253,0))&amp;" "&amp;INDEX(Inventory!$C$4:$C$253,MATCH($C330,Inventory!$A$4:$A$253,0)),"SKU not in Inventory"))</f>
        <v/>
      </c>
      <c r="E330" s="42" t="n"/>
      <c r="F330" s="41" t="n"/>
      <c r="G330" s="41" t="n"/>
      <c r="H330" s="47">
        <f>IF($C330="","",IFERROR(INDEX(Inventory!$H$4:$H$253,MATCH($C330,Inventory!$A$4:$A$253,0)),0))</f>
        <v/>
      </c>
      <c r="I330" s="40" t="n"/>
      <c r="J330" s="44">
        <f>IF($C330="","",MAX(0,$E330*$F330-$G330))</f>
        <v/>
      </c>
      <c r="K330" s="44">
        <f>IF(OR($C330="",$I330="No"),0,ROUND($J330*IFERROR(INDEX(Shows!$F$4:$F$23,MATCH($B330,Shows!$A$4:$A$23,0)),0),2))</f>
        <v/>
      </c>
      <c r="L330" s="44">
        <f>IF($C330="","",$E330*$H330)</f>
        <v/>
      </c>
      <c r="M330" s="44">
        <f>IF($C330="","",$J330-$L330-$P330)</f>
        <v/>
      </c>
      <c r="N330" s="40" t="n"/>
      <c r="O330" s="40" t="n"/>
      <c r="P330" s="44">
        <f>IF(OR($C330="",$N330&lt;&gt;"Card"),0,ROUND(($J330+$K330)*IFERROR(INDEX(Shows!$G$4:$G$23,MATCH($B330,Shows!$A$4:$A$23,0)),0)+IFERROR(INDEX(Shows!$H$4:$H$23,MATCH($B330,Shows!$A$4:$A$23,0)),0),2))</f>
        <v/>
      </c>
      <c r="Q330" s="44">
        <f>IF($C330="","",$J330+$K330-$P330)</f>
        <v/>
      </c>
      <c r="R330" s="40" t="n"/>
      <c r="S330" s="40" t="n"/>
      <c r="T330" s="40" t="n"/>
    </row>
    <row r="331">
      <c r="A331" s="48" t="n"/>
      <c r="B331" s="34" t="n"/>
      <c r="C331" s="34" t="n"/>
      <c r="D331" s="15">
        <f>IF($C331="","",IFERROR(INDEX(Inventory!$B$4:$B$253,MATCH($C331,Inventory!$A$4:$A$253,0))&amp;" "&amp;INDEX(Inventory!$C$4:$C$253,MATCH($C331,Inventory!$A$4:$A$253,0)),"SKU not in Inventory"))</f>
        <v/>
      </c>
      <c r="E331" s="36" t="n"/>
      <c r="F331" s="35" t="n"/>
      <c r="G331" s="35" t="n"/>
      <c r="H331" s="49">
        <f>IF($C331="","",IFERROR(INDEX(Inventory!$H$4:$H$253,MATCH($C331,Inventory!$A$4:$A$253,0)),0))</f>
        <v/>
      </c>
      <c r="I331" s="34" t="n"/>
      <c r="J331" s="38">
        <f>IF($C331="","",MAX(0,$E331*$F331-$G331))</f>
        <v/>
      </c>
      <c r="K331" s="38">
        <f>IF(OR($C331="",$I331="No"),0,ROUND($J331*IFERROR(INDEX(Shows!$F$4:$F$23,MATCH($B331,Shows!$A$4:$A$23,0)),0),2))</f>
        <v/>
      </c>
      <c r="L331" s="38">
        <f>IF($C331="","",$E331*$H331)</f>
        <v/>
      </c>
      <c r="M331" s="38">
        <f>IF($C331="","",$J331-$L331-$P331)</f>
        <v/>
      </c>
      <c r="N331" s="34" t="n"/>
      <c r="O331" s="34" t="n"/>
      <c r="P331" s="38">
        <f>IF(OR($C331="",$N331&lt;&gt;"Card"),0,ROUND(($J331+$K331)*IFERROR(INDEX(Shows!$G$4:$G$23,MATCH($B331,Shows!$A$4:$A$23,0)),0)+IFERROR(INDEX(Shows!$H$4:$H$23,MATCH($B331,Shows!$A$4:$A$23,0)),0),2))</f>
        <v/>
      </c>
      <c r="Q331" s="38">
        <f>IF($C331="","",$J331+$K331-$P331)</f>
        <v/>
      </c>
      <c r="R331" s="34" t="n"/>
      <c r="S331" s="34" t="n"/>
      <c r="T331" s="34" t="n"/>
    </row>
    <row r="332">
      <c r="A332" s="46" t="n"/>
      <c r="B332" s="40" t="n"/>
      <c r="C332" s="40" t="n"/>
      <c r="D332" s="11">
        <f>IF($C332="","",IFERROR(INDEX(Inventory!$B$4:$B$253,MATCH($C332,Inventory!$A$4:$A$253,0))&amp;" "&amp;INDEX(Inventory!$C$4:$C$253,MATCH($C332,Inventory!$A$4:$A$253,0)),"SKU not in Inventory"))</f>
        <v/>
      </c>
      <c r="E332" s="42" t="n"/>
      <c r="F332" s="41" t="n"/>
      <c r="G332" s="41" t="n"/>
      <c r="H332" s="47">
        <f>IF($C332="","",IFERROR(INDEX(Inventory!$H$4:$H$253,MATCH($C332,Inventory!$A$4:$A$253,0)),0))</f>
        <v/>
      </c>
      <c r="I332" s="40" t="n"/>
      <c r="J332" s="44">
        <f>IF($C332="","",MAX(0,$E332*$F332-$G332))</f>
        <v/>
      </c>
      <c r="K332" s="44">
        <f>IF(OR($C332="",$I332="No"),0,ROUND($J332*IFERROR(INDEX(Shows!$F$4:$F$23,MATCH($B332,Shows!$A$4:$A$23,0)),0),2))</f>
        <v/>
      </c>
      <c r="L332" s="44">
        <f>IF($C332="","",$E332*$H332)</f>
        <v/>
      </c>
      <c r="M332" s="44">
        <f>IF($C332="","",$J332-$L332-$P332)</f>
        <v/>
      </c>
      <c r="N332" s="40" t="n"/>
      <c r="O332" s="40" t="n"/>
      <c r="P332" s="44">
        <f>IF(OR($C332="",$N332&lt;&gt;"Card"),0,ROUND(($J332+$K332)*IFERROR(INDEX(Shows!$G$4:$G$23,MATCH($B332,Shows!$A$4:$A$23,0)),0)+IFERROR(INDEX(Shows!$H$4:$H$23,MATCH($B332,Shows!$A$4:$A$23,0)),0),2))</f>
        <v/>
      </c>
      <c r="Q332" s="44">
        <f>IF($C332="","",$J332+$K332-$P332)</f>
        <v/>
      </c>
      <c r="R332" s="40" t="n"/>
      <c r="S332" s="40" t="n"/>
      <c r="T332" s="40" t="n"/>
    </row>
    <row r="333">
      <c r="A333" s="48" t="n"/>
      <c r="B333" s="34" t="n"/>
      <c r="C333" s="34" t="n"/>
      <c r="D333" s="15">
        <f>IF($C333="","",IFERROR(INDEX(Inventory!$B$4:$B$253,MATCH($C333,Inventory!$A$4:$A$253,0))&amp;" "&amp;INDEX(Inventory!$C$4:$C$253,MATCH($C333,Inventory!$A$4:$A$253,0)),"SKU not in Inventory"))</f>
        <v/>
      </c>
      <c r="E333" s="36" t="n"/>
      <c r="F333" s="35" t="n"/>
      <c r="G333" s="35" t="n"/>
      <c r="H333" s="49">
        <f>IF($C333="","",IFERROR(INDEX(Inventory!$H$4:$H$253,MATCH($C333,Inventory!$A$4:$A$253,0)),0))</f>
        <v/>
      </c>
      <c r="I333" s="34" t="n"/>
      <c r="J333" s="38">
        <f>IF($C333="","",MAX(0,$E333*$F333-$G333))</f>
        <v/>
      </c>
      <c r="K333" s="38">
        <f>IF(OR($C333="",$I333="No"),0,ROUND($J333*IFERROR(INDEX(Shows!$F$4:$F$23,MATCH($B333,Shows!$A$4:$A$23,0)),0),2))</f>
        <v/>
      </c>
      <c r="L333" s="38">
        <f>IF($C333="","",$E333*$H333)</f>
        <v/>
      </c>
      <c r="M333" s="38">
        <f>IF($C333="","",$J333-$L333-$P333)</f>
        <v/>
      </c>
      <c r="N333" s="34" t="n"/>
      <c r="O333" s="34" t="n"/>
      <c r="P333" s="38">
        <f>IF(OR($C333="",$N333&lt;&gt;"Card"),0,ROUND(($J333+$K333)*IFERROR(INDEX(Shows!$G$4:$G$23,MATCH($B333,Shows!$A$4:$A$23,0)),0)+IFERROR(INDEX(Shows!$H$4:$H$23,MATCH($B333,Shows!$A$4:$A$23,0)),0),2))</f>
        <v/>
      </c>
      <c r="Q333" s="38">
        <f>IF($C333="","",$J333+$K333-$P333)</f>
        <v/>
      </c>
      <c r="R333" s="34" t="n"/>
      <c r="S333" s="34" t="n"/>
      <c r="T333" s="34" t="n"/>
    </row>
    <row r="334">
      <c r="A334" s="46" t="n"/>
      <c r="B334" s="40" t="n"/>
      <c r="C334" s="40" t="n"/>
      <c r="D334" s="11">
        <f>IF($C334="","",IFERROR(INDEX(Inventory!$B$4:$B$253,MATCH($C334,Inventory!$A$4:$A$253,0))&amp;" "&amp;INDEX(Inventory!$C$4:$C$253,MATCH($C334,Inventory!$A$4:$A$253,0)),"SKU not in Inventory"))</f>
        <v/>
      </c>
      <c r="E334" s="42" t="n"/>
      <c r="F334" s="41" t="n"/>
      <c r="G334" s="41" t="n"/>
      <c r="H334" s="47">
        <f>IF($C334="","",IFERROR(INDEX(Inventory!$H$4:$H$253,MATCH($C334,Inventory!$A$4:$A$253,0)),0))</f>
        <v/>
      </c>
      <c r="I334" s="40" t="n"/>
      <c r="J334" s="44">
        <f>IF($C334="","",MAX(0,$E334*$F334-$G334))</f>
        <v/>
      </c>
      <c r="K334" s="44">
        <f>IF(OR($C334="",$I334="No"),0,ROUND($J334*IFERROR(INDEX(Shows!$F$4:$F$23,MATCH($B334,Shows!$A$4:$A$23,0)),0),2))</f>
        <v/>
      </c>
      <c r="L334" s="44">
        <f>IF($C334="","",$E334*$H334)</f>
        <v/>
      </c>
      <c r="M334" s="44">
        <f>IF($C334="","",$J334-$L334-$P334)</f>
        <v/>
      </c>
      <c r="N334" s="40" t="n"/>
      <c r="O334" s="40" t="n"/>
      <c r="P334" s="44">
        <f>IF(OR($C334="",$N334&lt;&gt;"Card"),0,ROUND(($J334+$K334)*IFERROR(INDEX(Shows!$G$4:$G$23,MATCH($B334,Shows!$A$4:$A$23,0)),0)+IFERROR(INDEX(Shows!$H$4:$H$23,MATCH($B334,Shows!$A$4:$A$23,0)),0),2))</f>
        <v/>
      </c>
      <c r="Q334" s="44">
        <f>IF($C334="","",$J334+$K334-$P334)</f>
        <v/>
      </c>
      <c r="R334" s="40" t="n"/>
      <c r="S334" s="40" t="n"/>
      <c r="T334" s="40" t="n"/>
    </row>
    <row r="335">
      <c r="A335" s="48" t="n"/>
      <c r="B335" s="34" t="n"/>
      <c r="C335" s="34" t="n"/>
      <c r="D335" s="15">
        <f>IF($C335="","",IFERROR(INDEX(Inventory!$B$4:$B$253,MATCH($C335,Inventory!$A$4:$A$253,0))&amp;" "&amp;INDEX(Inventory!$C$4:$C$253,MATCH($C335,Inventory!$A$4:$A$253,0)),"SKU not in Inventory"))</f>
        <v/>
      </c>
      <c r="E335" s="36" t="n"/>
      <c r="F335" s="35" t="n"/>
      <c r="G335" s="35" t="n"/>
      <c r="H335" s="49">
        <f>IF($C335="","",IFERROR(INDEX(Inventory!$H$4:$H$253,MATCH($C335,Inventory!$A$4:$A$253,0)),0))</f>
        <v/>
      </c>
      <c r="I335" s="34" t="n"/>
      <c r="J335" s="38">
        <f>IF($C335="","",MAX(0,$E335*$F335-$G335))</f>
        <v/>
      </c>
      <c r="K335" s="38">
        <f>IF(OR($C335="",$I335="No"),0,ROUND($J335*IFERROR(INDEX(Shows!$F$4:$F$23,MATCH($B335,Shows!$A$4:$A$23,0)),0),2))</f>
        <v/>
      </c>
      <c r="L335" s="38">
        <f>IF($C335="","",$E335*$H335)</f>
        <v/>
      </c>
      <c r="M335" s="38">
        <f>IF($C335="","",$J335-$L335-$P335)</f>
        <v/>
      </c>
      <c r="N335" s="34" t="n"/>
      <c r="O335" s="34" t="n"/>
      <c r="P335" s="38">
        <f>IF(OR($C335="",$N335&lt;&gt;"Card"),0,ROUND(($J335+$K335)*IFERROR(INDEX(Shows!$G$4:$G$23,MATCH($B335,Shows!$A$4:$A$23,0)),0)+IFERROR(INDEX(Shows!$H$4:$H$23,MATCH($B335,Shows!$A$4:$A$23,0)),0),2))</f>
        <v/>
      </c>
      <c r="Q335" s="38">
        <f>IF($C335="","",$J335+$K335-$P335)</f>
        <v/>
      </c>
      <c r="R335" s="34" t="n"/>
      <c r="S335" s="34" t="n"/>
      <c r="T335" s="34" t="n"/>
    </row>
    <row r="336">
      <c r="A336" s="46" t="n"/>
      <c r="B336" s="40" t="n"/>
      <c r="C336" s="40" t="n"/>
      <c r="D336" s="11">
        <f>IF($C336="","",IFERROR(INDEX(Inventory!$B$4:$B$253,MATCH($C336,Inventory!$A$4:$A$253,0))&amp;" "&amp;INDEX(Inventory!$C$4:$C$253,MATCH($C336,Inventory!$A$4:$A$253,0)),"SKU not in Inventory"))</f>
        <v/>
      </c>
      <c r="E336" s="42" t="n"/>
      <c r="F336" s="41" t="n"/>
      <c r="G336" s="41" t="n"/>
      <c r="H336" s="47">
        <f>IF($C336="","",IFERROR(INDEX(Inventory!$H$4:$H$253,MATCH($C336,Inventory!$A$4:$A$253,0)),0))</f>
        <v/>
      </c>
      <c r="I336" s="40" t="n"/>
      <c r="J336" s="44">
        <f>IF($C336="","",MAX(0,$E336*$F336-$G336))</f>
        <v/>
      </c>
      <c r="K336" s="44">
        <f>IF(OR($C336="",$I336="No"),0,ROUND($J336*IFERROR(INDEX(Shows!$F$4:$F$23,MATCH($B336,Shows!$A$4:$A$23,0)),0),2))</f>
        <v/>
      </c>
      <c r="L336" s="44">
        <f>IF($C336="","",$E336*$H336)</f>
        <v/>
      </c>
      <c r="M336" s="44">
        <f>IF($C336="","",$J336-$L336-$P336)</f>
        <v/>
      </c>
      <c r="N336" s="40" t="n"/>
      <c r="O336" s="40" t="n"/>
      <c r="P336" s="44">
        <f>IF(OR($C336="",$N336&lt;&gt;"Card"),0,ROUND(($J336+$K336)*IFERROR(INDEX(Shows!$G$4:$G$23,MATCH($B336,Shows!$A$4:$A$23,0)),0)+IFERROR(INDEX(Shows!$H$4:$H$23,MATCH($B336,Shows!$A$4:$A$23,0)),0),2))</f>
        <v/>
      </c>
      <c r="Q336" s="44">
        <f>IF($C336="","",$J336+$K336-$P336)</f>
        <v/>
      </c>
      <c r="R336" s="40" t="n"/>
      <c r="S336" s="40" t="n"/>
      <c r="T336" s="40" t="n"/>
    </row>
    <row r="337">
      <c r="A337" s="48" t="n"/>
      <c r="B337" s="34" t="n"/>
      <c r="C337" s="34" t="n"/>
      <c r="D337" s="15">
        <f>IF($C337="","",IFERROR(INDEX(Inventory!$B$4:$B$253,MATCH($C337,Inventory!$A$4:$A$253,0))&amp;" "&amp;INDEX(Inventory!$C$4:$C$253,MATCH($C337,Inventory!$A$4:$A$253,0)),"SKU not in Inventory"))</f>
        <v/>
      </c>
      <c r="E337" s="36" t="n"/>
      <c r="F337" s="35" t="n"/>
      <c r="G337" s="35" t="n"/>
      <c r="H337" s="49">
        <f>IF($C337="","",IFERROR(INDEX(Inventory!$H$4:$H$253,MATCH($C337,Inventory!$A$4:$A$253,0)),0))</f>
        <v/>
      </c>
      <c r="I337" s="34" t="n"/>
      <c r="J337" s="38">
        <f>IF($C337="","",MAX(0,$E337*$F337-$G337))</f>
        <v/>
      </c>
      <c r="K337" s="38">
        <f>IF(OR($C337="",$I337="No"),0,ROUND($J337*IFERROR(INDEX(Shows!$F$4:$F$23,MATCH($B337,Shows!$A$4:$A$23,0)),0),2))</f>
        <v/>
      </c>
      <c r="L337" s="38">
        <f>IF($C337="","",$E337*$H337)</f>
        <v/>
      </c>
      <c r="M337" s="38">
        <f>IF($C337="","",$J337-$L337-$P337)</f>
        <v/>
      </c>
      <c r="N337" s="34" t="n"/>
      <c r="O337" s="34" t="n"/>
      <c r="P337" s="38">
        <f>IF(OR($C337="",$N337&lt;&gt;"Card"),0,ROUND(($J337+$K337)*IFERROR(INDEX(Shows!$G$4:$G$23,MATCH($B337,Shows!$A$4:$A$23,0)),0)+IFERROR(INDEX(Shows!$H$4:$H$23,MATCH($B337,Shows!$A$4:$A$23,0)),0),2))</f>
        <v/>
      </c>
      <c r="Q337" s="38">
        <f>IF($C337="","",$J337+$K337-$P337)</f>
        <v/>
      </c>
      <c r="R337" s="34" t="n"/>
      <c r="S337" s="34" t="n"/>
      <c r="T337" s="34" t="n"/>
    </row>
    <row r="338">
      <c r="A338" s="46" t="n"/>
      <c r="B338" s="40" t="n"/>
      <c r="C338" s="40" t="n"/>
      <c r="D338" s="11">
        <f>IF($C338="","",IFERROR(INDEX(Inventory!$B$4:$B$253,MATCH($C338,Inventory!$A$4:$A$253,0))&amp;" "&amp;INDEX(Inventory!$C$4:$C$253,MATCH($C338,Inventory!$A$4:$A$253,0)),"SKU not in Inventory"))</f>
        <v/>
      </c>
      <c r="E338" s="42" t="n"/>
      <c r="F338" s="41" t="n"/>
      <c r="G338" s="41" t="n"/>
      <c r="H338" s="47">
        <f>IF($C338="","",IFERROR(INDEX(Inventory!$H$4:$H$253,MATCH($C338,Inventory!$A$4:$A$253,0)),0))</f>
        <v/>
      </c>
      <c r="I338" s="40" t="n"/>
      <c r="J338" s="44">
        <f>IF($C338="","",MAX(0,$E338*$F338-$G338))</f>
        <v/>
      </c>
      <c r="K338" s="44">
        <f>IF(OR($C338="",$I338="No"),0,ROUND($J338*IFERROR(INDEX(Shows!$F$4:$F$23,MATCH($B338,Shows!$A$4:$A$23,0)),0),2))</f>
        <v/>
      </c>
      <c r="L338" s="44">
        <f>IF($C338="","",$E338*$H338)</f>
        <v/>
      </c>
      <c r="M338" s="44">
        <f>IF($C338="","",$J338-$L338-$P338)</f>
        <v/>
      </c>
      <c r="N338" s="40" t="n"/>
      <c r="O338" s="40" t="n"/>
      <c r="P338" s="44">
        <f>IF(OR($C338="",$N338&lt;&gt;"Card"),0,ROUND(($J338+$K338)*IFERROR(INDEX(Shows!$G$4:$G$23,MATCH($B338,Shows!$A$4:$A$23,0)),0)+IFERROR(INDEX(Shows!$H$4:$H$23,MATCH($B338,Shows!$A$4:$A$23,0)),0),2))</f>
        <v/>
      </c>
      <c r="Q338" s="44">
        <f>IF($C338="","",$J338+$K338-$P338)</f>
        <v/>
      </c>
      <c r="R338" s="40" t="n"/>
      <c r="S338" s="40" t="n"/>
      <c r="T338" s="40" t="n"/>
    </row>
    <row r="339">
      <c r="A339" s="48" t="n"/>
      <c r="B339" s="34" t="n"/>
      <c r="C339" s="34" t="n"/>
      <c r="D339" s="15">
        <f>IF($C339="","",IFERROR(INDEX(Inventory!$B$4:$B$253,MATCH($C339,Inventory!$A$4:$A$253,0))&amp;" "&amp;INDEX(Inventory!$C$4:$C$253,MATCH($C339,Inventory!$A$4:$A$253,0)),"SKU not in Inventory"))</f>
        <v/>
      </c>
      <c r="E339" s="36" t="n"/>
      <c r="F339" s="35" t="n"/>
      <c r="G339" s="35" t="n"/>
      <c r="H339" s="49">
        <f>IF($C339="","",IFERROR(INDEX(Inventory!$H$4:$H$253,MATCH($C339,Inventory!$A$4:$A$253,0)),0))</f>
        <v/>
      </c>
      <c r="I339" s="34" t="n"/>
      <c r="J339" s="38">
        <f>IF($C339="","",MAX(0,$E339*$F339-$G339))</f>
        <v/>
      </c>
      <c r="K339" s="38">
        <f>IF(OR($C339="",$I339="No"),0,ROUND($J339*IFERROR(INDEX(Shows!$F$4:$F$23,MATCH($B339,Shows!$A$4:$A$23,0)),0),2))</f>
        <v/>
      </c>
      <c r="L339" s="38">
        <f>IF($C339="","",$E339*$H339)</f>
        <v/>
      </c>
      <c r="M339" s="38">
        <f>IF($C339="","",$J339-$L339-$P339)</f>
        <v/>
      </c>
      <c r="N339" s="34" t="n"/>
      <c r="O339" s="34" t="n"/>
      <c r="P339" s="38">
        <f>IF(OR($C339="",$N339&lt;&gt;"Card"),0,ROUND(($J339+$K339)*IFERROR(INDEX(Shows!$G$4:$G$23,MATCH($B339,Shows!$A$4:$A$23,0)),0)+IFERROR(INDEX(Shows!$H$4:$H$23,MATCH($B339,Shows!$A$4:$A$23,0)),0),2))</f>
        <v/>
      </c>
      <c r="Q339" s="38">
        <f>IF($C339="","",$J339+$K339-$P339)</f>
        <v/>
      </c>
      <c r="R339" s="34" t="n"/>
      <c r="S339" s="34" t="n"/>
      <c r="T339" s="34" t="n"/>
    </row>
    <row r="340">
      <c r="A340" s="46" t="n"/>
      <c r="B340" s="40" t="n"/>
      <c r="C340" s="40" t="n"/>
      <c r="D340" s="11">
        <f>IF($C340="","",IFERROR(INDEX(Inventory!$B$4:$B$253,MATCH($C340,Inventory!$A$4:$A$253,0))&amp;" "&amp;INDEX(Inventory!$C$4:$C$253,MATCH($C340,Inventory!$A$4:$A$253,0)),"SKU not in Inventory"))</f>
        <v/>
      </c>
      <c r="E340" s="42" t="n"/>
      <c r="F340" s="41" t="n"/>
      <c r="G340" s="41" t="n"/>
      <c r="H340" s="47">
        <f>IF($C340="","",IFERROR(INDEX(Inventory!$H$4:$H$253,MATCH($C340,Inventory!$A$4:$A$253,0)),0))</f>
        <v/>
      </c>
      <c r="I340" s="40" t="n"/>
      <c r="J340" s="44">
        <f>IF($C340="","",MAX(0,$E340*$F340-$G340))</f>
        <v/>
      </c>
      <c r="K340" s="44">
        <f>IF(OR($C340="",$I340="No"),0,ROUND($J340*IFERROR(INDEX(Shows!$F$4:$F$23,MATCH($B340,Shows!$A$4:$A$23,0)),0),2))</f>
        <v/>
      </c>
      <c r="L340" s="44">
        <f>IF($C340="","",$E340*$H340)</f>
        <v/>
      </c>
      <c r="M340" s="44">
        <f>IF($C340="","",$J340-$L340-$P340)</f>
        <v/>
      </c>
      <c r="N340" s="40" t="n"/>
      <c r="O340" s="40" t="n"/>
      <c r="P340" s="44">
        <f>IF(OR($C340="",$N340&lt;&gt;"Card"),0,ROUND(($J340+$K340)*IFERROR(INDEX(Shows!$G$4:$G$23,MATCH($B340,Shows!$A$4:$A$23,0)),0)+IFERROR(INDEX(Shows!$H$4:$H$23,MATCH($B340,Shows!$A$4:$A$23,0)),0),2))</f>
        <v/>
      </c>
      <c r="Q340" s="44">
        <f>IF($C340="","",$J340+$K340-$P340)</f>
        <v/>
      </c>
      <c r="R340" s="40" t="n"/>
      <c r="S340" s="40" t="n"/>
      <c r="T340" s="40" t="n"/>
    </row>
    <row r="341">
      <c r="A341" s="48" t="n"/>
      <c r="B341" s="34" t="n"/>
      <c r="C341" s="34" t="n"/>
      <c r="D341" s="15">
        <f>IF($C341="","",IFERROR(INDEX(Inventory!$B$4:$B$253,MATCH($C341,Inventory!$A$4:$A$253,0))&amp;" "&amp;INDEX(Inventory!$C$4:$C$253,MATCH($C341,Inventory!$A$4:$A$253,0)),"SKU not in Inventory"))</f>
        <v/>
      </c>
      <c r="E341" s="36" t="n"/>
      <c r="F341" s="35" t="n"/>
      <c r="G341" s="35" t="n"/>
      <c r="H341" s="49">
        <f>IF($C341="","",IFERROR(INDEX(Inventory!$H$4:$H$253,MATCH($C341,Inventory!$A$4:$A$253,0)),0))</f>
        <v/>
      </c>
      <c r="I341" s="34" t="n"/>
      <c r="J341" s="38">
        <f>IF($C341="","",MAX(0,$E341*$F341-$G341))</f>
        <v/>
      </c>
      <c r="K341" s="38">
        <f>IF(OR($C341="",$I341="No"),0,ROUND($J341*IFERROR(INDEX(Shows!$F$4:$F$23,MATCH($B341,Shows!$A$4:$A$23,0)),0),2))</f>
        <v/>
      </c>
      <c r="L341" s="38">
        <f>IF($C341="","",$E341*$H341)</f>
        <v/>
      </c>
      <c r="M341" s="38">
        <f>IF($C341="","",$J341-$L341-$P341)</f>
        <v/>
      </c>
      <c r="N341" s="34" t="n"/>
      <c r="O341" s="34" t="n"/>
      <c r="P341" s="38">
        <f>IF(OR($C341="",$N341&lt;&gt;"Card"),0,ROUND(($J341+$K341)*IFERROR(INDEX(Shows!$G$4:$G$23,MATCH($B341,Shows!$A$4:$A$23,0)),0)+IFERROR(INDEX(Shows!$H$4:$H$23,MATCH($B341,Shows!$A$4:$A$23,0)),0),2))</f>
        <v/>
      </c>
      <c r="Q341" s="38">
        <f>IF($C341="","",$J341+$K341-$P341)</f>
        <v/>
      </c>
      <c r="R341" s="34" t="n"/>
      <c r="S341" s="34" t="n"/>
      <c r="T341" s="34" t="n"/>
    </row>
    <row r="342">
      <c r="A342" s="46" t="n"/>
      <c r="B342" s="40" t="n"/>
      <c r="C342" s="40" t="n"/>
      <c r="D342" s="11">
        <f>IF($C342="","",IFERROR(INDEX(Inventory!$B$4:$B$253,MATCH($C342,Inventory!$A$4:$A$253,0))&amp;" "&amp;INDEX(Inventory!$C$4:$C$253,MATCH($C342,Inventory!$A$4:$A$253,0)),"SKU not in Inventory"))</f>
        <v/>
      </c>
      <c r="E342" s="42" t="n"/>
      <c r="F342" s="41" t="n"/>
      <c r="G342" s="41" t="n"/>
      <c r="H342" s="47">
        <f>IF($C342="","",IFERROR(INDEX(Inventory!$H$4:$H$253,MATCH($C342,Inventory!$A$4:$A$253,0)),0))</f>
        <v/>
      </c>
      <c r="I342" s="40" t="n"/>
      <c r="J342" s="44">
        <f>IF($C342="","",MAX(0,$E342*$F342-$G342))</f>
        <v/>
      </c>
      <c r="K342" s="44">
        <f>IF(OR($C342="",$I342="No"),0,ROUND($J342*IFERROR(INDEX(Shows!$F$4:$F$23,MATCH($B342,Shows!$A$4:$A$23,0)),0),2))</f>
        <v/>
      </c>
      <c r="L342" s="44">
        <f>IF($C342="","",$E342*$H342)</f>
        <v/>
      </c>
      <c r="M342" s="44">
        <f>IF($C342="","",$J342-$L342-$P342)</f>
        <v/>
      </c>
      <c r="N342" s="40" t="n"/>
      <c r="O342" s="40" t="n"/>
      <c r="P342" s="44">
        <f>IF(OR($C342="",$N342&lt;&gt;"Card"),0,ROUND(($J342+$K342)*IFERROR(INDEX(Shows!$G$4:$G$23,MATCH($B342,Shows!$A$4:$A$23,0)),0)+IFERROR(INDEX(Shows!$H$4:$H$23,MATCH($B342,Shows!$A$4:$A$23,0)),0),2))</f>
        <v/>
      </c>
      <c r="Q342" s="44">
        <f>IF($C342="","",$J342+$K342-$P342)</f>
        <v/>
      </c>
      <c r="R342" s="40" t="n"/>
      <c r="S342" s="40" t="n"/>
      <c r="T342" s="40" t="n"/>
    </row>
    <row r="343">
      <c r="A343" s="48" t="n"/>
      <c r="B343" s="34" t="n"/>
      <c r="C343" s="34" t="n"/>
      <c r="D343" s="15">
        <f>IF($C343="","",IFERROR(INDEX(Inventory!$B$4:$B$253,MATCH($C343,Inventory!$A$4:$A$253,0))&amp;" "&amp;INDEX(Inventory!$C$4:$C$253,MATCH($C343,Inventory!$A$4:$A$253,0)),"SKU not in Inventory"))</f>
        <v/>
      </c>
      <c r="E343" s="36" t="n"/>
      <c r="F343" s="35" t="n"/>
      <c r="G343" s="35" t="n"/>
      <c r="H343" s="49">
        <f>IF($C343="","",IFERROR(INDEX(Inventory!$H$4:$H$253,MATCH($C343,Inventory!$A$4:$A$253,0)),0))</f>
        <v/>
      </c>
      <c r="I343" s="34" t="n"/>
      <c r="J343" s="38">
        <f>IF($C343="","",MAX(0,$E343*$F343-$G343))</f>
        <v/>
      </c>
      <c r="K343" s="38">
        <f>IF(OR($C343="",$I343="No"),0,ROUND($J343*IFERROR(INDEX(Shows!$F$4:$F$23,MATCH($B343,Shows!$A$4:$A$23,0)),0),2))</f>
        <v/>
      </c>
      <c r="L343" s="38">
        <f>IF($C343="","",$E343*$H343)</f>
        <v/>
      </c>
      <c r="M343" s="38">
        <f>IF($C343="","",$J343-$L343-$P343)</f>
        <v/>
      </c>
      <c r="N343" s="34" t="n"/>
      <c r="O343" s="34" t="n"/>
      <c r="P343" s="38">
        <f>IF(OR($C343="",$N343&lt;&gt;"Card"),0,ROUND(($J343+$K343)*IFERROR(INDEX(Shows!$G$4:$G$23,MATCH($B343,Shows!$A$4:$A$23,0)),0)+IFERROR(INDEX(Shows!$H$4:$H$23,MATCH($B343,Shows!$A$4:$A$23,0)),0),2))</f>
        <v/>
      </c>
      <c r="Q343" s="38">
        <f>IF($C343="","",$J343+$K343-$P343)</f>
        <v/>
      </c>
      <c r="R343" s="34" t="n"/>
      <c r="S343" s="34" t="n"/>
      <c r="T343" s="34" t="n"/>
    </row>
    <row r="344">
      <c r="A344" s="46" t="n"/>
      <c r="B344" s="40" t="n"/>
      <c r="C344" s="40" t="n"/>
      <c r="D344" s="11">
        <f>IF($C344="","",IFERROR(INDEX(Inventory!$B$4:$B$253,MATCH($C344,Inventory!$A$4:$A$253,0))&amp;" "&amp;INDEX(Inventory!$C$4:$C$253,MATCH($C344,Inventory!$A$4:$A$253,0)),"SKU not in Inventory"))</f>
        <v/>
      </c>
      <c r="E344" s="42" t="n"/>
      <c r="F344" s="41" t="n"/>
      <c r="G344" s="41" t="n"/>
      <c r="H344" s="47">
        <f>IF($C344="","",IFERROR(INDEX(Inventory!$H$4:$H$253,MATCH($C344,Inventory!$A$4:$A$253,0)),0))</f>
        <v/>
      </c>
      <c r="I344" s="40" t="n"/>
      <c r="J344" s="44">
        <f>IF($C344="","",MAX(0,$E344*$F344-$G344))</f>
        <v/>
      </c>
      <c r="K344" s="44">
        <f>IF(OR($C344="",$I344="No"),0,ROUND($J344*IFERROR(INDEX(Shows!$F$4:$F$23,MATCH($B344,Shows!$A$4:$A$23,0)),0),2))</f>
        <v/>
      </c>
      <c r="L344" s="44">
        <f>IF($C344="","",$E344*$H344)</f>
        <v/>
      </c>
      <c r="M344" s="44">
        <f>IF($C344="","",$J344-$L344-$P344)</f>
        <v/>
      </c>
      <c r="N344" s="40" t="n"/>
      <c r="O344" s="40" t="n"/>
      <c r="P344" s="44">
        <f>IF(OR($C344="",$N344&lt;&gt;"Card"),0,ROUND(($J344+$K344)*IFERROR(INDEX(Shows!$G$4:$G$23,MATCH($B344,Shows!$A$4:$A$23,0)),0)+IFERROR(INDEX(Shows!$H$4:$H$23,MATCH($B344,Shows!$A$4:$A$23,0)),0),2))</f>
        <v/>
      </c>
      <c r="Q344" s="44">
        <f>IF($C344="","",$J344+$K344-$P344)</f>
        <v/>
      </c>
      <c r="R344" s="40" t="n"/>
      <c r="S344" s="40" t="n"/>
      <c r="T344" s="40" t="n"/>
    </row>
    <row r="345">
      <c r="A345" s="48" t="n"/>
      <c r="B345" s="34" t="n"/>
      <c r="C345" s="34" t="n"/>
      <c r="D345" s="15">
        <f>IF($C345="","",IFERROR(INDEX(Inventory!$B$4:$B$253,MATCH($C345,Inventory!$A$4:$A$253,0))&amp;" "&amp;INDEX(Inventory!$C$4:$C$253,MATCH($C345,Inventory!$A$4:$A$253,0)),"SKU not in Inventory"))</f>
        <v/>
      </c>
      <c r="E345" s="36" t="n"/>
      <c r="F345" s="35" t="n"/>
      <c r="G345" s="35" t="n"/>
      <c r="H345" s="49">
        <f>IF($C345="","",IFERROR(INDEX(Inventory!$H$4:$H$253,MATCH($C345,Inventory!$A$4:$A$253,0)),0))</f>
        <v/>
      </c>
      <c r="I345" s="34" t="n"/>
      <c r="J345" s="38">
        <f>IF($C345="","",MAX(0,$E345*$F345-$G345))</f>
        <v/>
      </c>
      <c r="K345" s="38">
        <f>IF(OR($C345="",$I345="No"),0,ROUND($J345*IFERROR(INDEX(Shows!$F$4:$F$23,MATCH($B345,Shows!$A$4:$A$23,0)),0),2))</f>
        <v/>
      </c>
      <c r="L345" s="38">
        <f>IF($C345="","",$E345*$H345)</f>
        <v/>
      </c>
      <c r="M345" s="38">
        <f>IF($C345="","",$J345-$L345-$P345)</f>
        <v/>
      </c>
      <c r="N345" s="34" t="n"/>
      <c r="O345" s="34" t="n"/>
      <c r="P345" s="38">
        <f>IF(OR($C345="",$N345&lt;&gt;"Card"),0,ROUND(($J345+$K345)*IFERROR(INDEX(Shows!$G$4:$G$23,MATCH($B345,Shows!$A$4:$A$23,0)),0)+IFERROR(INDEX(Shows!$H$4:$H$23,MATCH($B345,Shows!$A$4:$A$23,0)),0),2))</f>
        <v/>
      </c>
      <c r="Q345" s="38">
        <f>IF($C345="","",$J345+$K345-$P345)</f>
        <v/>
      </c>
      <c r="R345" s="34" t="n"/>
      <c r="S345" s="34" t="n"/>
      <c r="T345" s="34" t="n"/>
    </row>
    <row r="346">
      <c r="A346" s="46" t="n"/>
      <c r="B346" s="40" t="n"/>
      <c r="C346" s="40" t="n"/>
      <c r="D346" s="11">
        <f>IF($C346="","",IFERROR(INDEX(Inventory!$B$4:$B$253,MATCH($C346,Inventory!$A$4:$A$253,0))&amp;" "&amp;INDEX(Inventory!$C$4:$C$253,MATCH($C346,Inventory!$A$4:$A$253,0)),"SKU not in Inventory"))</f>
        <v/>
      </c>
      <c r="E346" s="42" t="n"/>
      <c r="F346" s="41" t="n"/>
      <c r="G346" s="41" t="n"/>
      <c r="H346" s="47">
        <f>IF($C346="","",IFERROR(INDEX(Inventory!$H$4:$H$253,MATCH($C346,Inventory!$A$4:$A$253,0)),0))</f>
        <v/>
      </c>
      <c r="I346" s="40" t="n"/>
      <c r="J346" s="44">
        <f>IF($C346="","",MAX(0,$E346*$F346-$G346))</f>
        <v/>
      </c>
      <c r="K346" s="44">
        <f>IF(OR($C346="",$I346="No"),0,ROUND($J346*IFERROR(INDEX(Shows!$F$4:$F$23,MATCH($B346,Shows!$A$4:$A$23,0)),0),2))</f>
        <v/>
      </c>
      <c r="L346" s="44">
        <f>IF($C346="","",$E346*$H346)</f>
        <v/>
      </c>
      <c r="M346" s="44">
        <f>IF($C346="","",$J346-$L346-$P346)</f>
        <v/>
      </c>
      <c r="N346" s="40" t="n"/>
      <c r="O346" s="40" t="n"/>
      <c r="P346" s="44">
        <f>IF(OR($C346="",$N346&lt;&gt;"Card"),0,ROUND(($J346+$K346)*IFERROR(INDEX(Shows!$G$4:$G$23,MATCH($B346,Shows!$A$4:$A$23,0)),0)+IFERROR(INDEX(Shows!$H$4:$H$23,MATCH($B346,Shows!$A$4:$A$23,0)),0),2))</f>
        <v/>
      </c>
      <c r="Q346" s="44">
        <f>IF($C346="","",$J346+$K346-$P346)</f>
        <v/>
      </c>
      <c r="R346" s="40" t="n"/>
      <c r="S346" s="40" t="n"/>
      <c r="T346" s="40" t="n"/>
    </row>
    <row r="347">
      <c r="A347" s="48" t="n"/>
      <c r="B347" s="34" t="n"/>
      <c r="C347" s="34" t="n"/>
      <c r="D347" s="15">
        <f>IF($C347="","",IFERROR(INDEX(Inventory!$B$4:$B$253,MATCH($C347,Inventory!$A$4:$A$253,0))&amp;" "&amp;INDEX(Inventory!$C$4:$C$253,MATCH($C347,Inventory!$A$4:$A$253,0)),"SKU not in Inventory"))</f>
        <v/>
      </c>
      <c r="E347" s="36" t="n"/>
      <c r="F347" s="35" t="n"/>
      <c r="G347" s="35" t="n"/>
      <c r="H347" s="49">
        <f>IF($C347="","",IFERROR(INDEX(Inventory!$H$4:$H$253,MATCH($C347,Inventory!$A$4:$A$253,0)),0))</f>
        <v/>
      </c>
      <c r="I347" s="34" t="n"/>
      <c r="J347" s="38">
        <f>IF($C347="","",MAX(0,$E347*$F347-$G347))</f>
        <v/>
      </c>
      <c r="K347" s="38">
        <f>IF(OR($C347="",$I347="No"),0,ROUND($J347*IFERROR(INDEX(Shows!$F$4:$F$23,MATCH($B347,Shows!$A$4:$A$23,0)),0),2))</f>
        <v/>
      </c>
      <c r="L347" s="38">
        <f>IF($C347="","",$E347*$H347)</f>
        <v/>
      </c>
      <c r="M347" s="38">
        <f>IF($C347="","",$J347-$L347-$P347)</f>
        <v/>
      </c>
      <c r="N347" s="34" t="n"/>
      <c r="O347" s="34" t="n"/>
      <c r="P347" s="38">
        <f>IF(OR($C347="",$N347&lt;&gt;"Card"),0,ROUND(($J347+$K347)*IFERROR(INDEX(Shows!$G$4:$G$23,MATCH($B347,Shows!$A$4:$A$23,0)),0)+IFERROR(INDEX(Shows!$H$4:$H$23,MATCH($B347,Shows!$A$4:$A$23,0)),0),2))</f>
        <v/>
      </c>
      <c r="Q347" s="38">
        <f>IF($C347="","",$J347+$K347-$P347)</f>
        <v/>
      </c>
      <c r="R347" s="34" t="n"/>
      <c r="S347" s="34" t="n"/>
      <c r="T347" s="34" t="n"/>
    </row>
    <row r="348">
      <c r="A348" s="46" t="n"/>
      <c r="B348" s="40" t="n"/>
      <c r="C348" s="40" t="n"/>
      <c r="D348" s="11">
        <f>IF($C348="","",IFERROR(INDEX(Inventory!$B$4:$B$253,MATCH($C348,Inventory!$A$4:$A$253,0))&amp;" "&amp;INDEX(Inventory!$C$4:$C$253,MATCH($C348,Inventory!$A$4:$A$253,0)),"SKU not in Inventory"))</f>
        <v/>
      </c>
      <c r="E348" s="42" t="n"/>
      <c r="F348" s="41" t="n"/>
      <c r="G348" s="41" t="n"/>
      <c r="H348" s="47">
        <f>IF($C348="","",IFERROR(INDEX(Inventory!$H$4:$H$253,MATCH($C348,Inventory!$A$4:$A$253,0)),0))</f>
        <v/>
      </c>
      <c r="I348" s="40" t="n"/>
      <c r="J348" s="44">
        <f>IF($C348="","",MAX(0,$E348*$F348-$G348))</f>
        <v/>
      </c>
      <c r="K348" s="44">
        <f>IF(OR($C348="",$I348="No"),0,ROUND($J348*IFERROR(INDEX(Shows!$F$4:$F$23,MATCH($B348,Shows!$A$4:$A$23,0)),0),2))</f>
        <v/>
      </c>
      <c r="L348" s="44">
        <f>IF($C348="","",$E348*$H348)</f>
        <v/>
      </c>
      <c r="M348" s="44">
        <f>IF($C348="","",$J348-$L348-$P348)</f>
        <v/>
      </c>
      <c r="N348" s="40" t="n"/>
      <c r="O348" s="40" t="n"/>
      <c r="P348" s="44">
        <f>IF(OR($C348="",$N348&lt;&gt;"Card"),0,ROUND(($J348+$K348)*IFERROR(INDEX(Shows!$G$4:$G$23,MATCH($B348,Shows!$A$4:$A$23,0)),0)+IFERROR(INDEX(Shows!$H$4:$H$23,MATCH($B348,Shows!$A$4:$A$23,0)),0),2))</f>
        <v/>
      </c>
      <c r="Q348" s="44">
        <f>IF($C348="","",$J348+$K348-$P348)</f>
        <v/>
      </c>
      <c r="R348" s="40" t="n"/>
      <c r="S348" s="40" t="n"/>
      <c r="T348" s="40" t="n"/>
    </row>
    <row r="349">
      <c r="A349" s="48" t="n"/>
      <c r="B349" s="34" t="n"/>
      <c r="C349" s="34" t="n"/>
      <c r="D349" s="15">
        <f>IF($C349="","",IFERROR(INDEX(Inventory!$B$4:$B$253,MATCH($C349,Inventory!$A$4:$A$253,0))&amp;" "&amp;INDEX(Inventory!$C$4:$C$253,MATCH($C349,Inventory!$A$4:$A$253,0)),"SKU not in Inventory"))</f>
        <v/>
      </c>
      <c r="E349" s="36" t="n"/>
      <c r="F349" s="35" t="n"/>
      <c r="G349" s="35" t="n"/>
      <c r="H349" s="49">
        <f>IF($C349="","",IFERROR(INDEX(Inventory!$H$4:$H$253,MATCH($C349,Inventory!$A$4:$A$253,0)),0))</f>
        <v/>
      </c>
      <c r="I349" s="34" t="n"/>
      <c r="J349" s="38">
        <f>IF($C349="","",MAX(0,$E349*$F349-$G349))</f>
        <v/>
      </c>
      <c r="K349" s="38">
        <f>IF(OR($C349="",$I349="No"),0,ROUND($J349*IFERROR(INDEX(Shows!$F$4:$F$23,MATCH($B349,Shows!$A$4:$A$23,0)),0),2))</f>
        <v/>
      </c>
      <c r="L349" s="38">
        <f>IF($C349="","",$E349*$H349)</f>
        <v/>
      </c>
      <c r="M349" s="38">
        <f>IF($C349="","",$J349-$L349-$P349)</f>
        <v/>
      </c>
      <c r="N349" s="34" t="n"/>
      <c r="O349" s="34" t="n"/>
      <c r="P349" s="38">
        <f>IF(OR($C349="",$N349&lt;&gt;"Card"),0,ROUND(($J349+$K349)*IFERROR(INDEX(Shows!$G$4:$G$23,MATCH($B349,Shows!$A$4:$A$23,0)),0)+IFERROR(INDEX(Shows!$H$4:$H$23,MATCH($B349,Shows!$A$4:$A$23,0)),0),2))</f>
        <v/>
      </c>
      <c r="Q349" s="38">
        <f>IF($C349="","",$J349+$K349-$P349)</f>
        <v/>
      </c>
      <c r="R349" s="34" t="n"/>
      <c r="S349" s="34" t="n"/>
      <c r="T349" s="34" t="n"/>
    </row>
    <row r="350">
      <c r="A350" s="46" t="n"/>
      <c r="B350" s="40" t="n"/>
      <c r="C350" s="40" t="n"/>
      <c r="D350" s="11">
        <f>IF($C350="","",IFERROR(INDEX(Inventory!$B$4:$B$253,MATCH($C350,Inventory!$A$4:$A$253,0))&amp;" "&amp;INDEX(Inventory!$C$4:$C$253,MATCH($C350,Inventory!$A$4:$A$253,0)),"SKU not in Inventory"))</f>
        <v/>
      </c>
      <c r="E350" s="42" t="n"/>
      <c r="F350" s="41" t="n"/>
      <c r="G350" s="41" t="n"/>
      <c r="H350" s="47">
        <f>IF($C350="","",IFERROR(INDEX(Inventory!$H$4:$H$253,MATCH($C350,Inventory!$A$4:$A$253,0)),0))</f>
        <v/>
      </c>
      <c r="I350" s="40" t="n"/>
      <c r="J350" s="44">
        <f>IF($C350="","",MAX(0,$E350*$F350-$G350))</f>
        <v/>
      </c>
      <c r="K350" s="44">
        <f>IF(OR($C350="",$I350="No"),0,ROUND($J350*IFERROR(INDEX(Shows!$F$4:$F$23,MATCH($B350,Shows!$A$4:$A$23,0)),0),2))</f>
        <v/>
      </c>
      <c r="L350" s="44">
        <f>IF($C350="","",$E350*$H350)</f>
        <v/>
      </c>
      <c r="M350" s="44">
        <f>IF($C350="","",$J350-$L350-$P350)</f>
        <v/>
      </c>
      <c r="N350" s="40" t="n"/>
      <c r="O350" s="40" t="n"/>
      <c r="P350" s="44">
        <f>IF(OR($C350="",$N350&lt;&gt;"Card"),0,ROUND(($J350+$K350)*IFERROR(INDEX(Shows!$G$4:$G$23,MATCH($B350,Shows!$A$4:$A$23,0)),0)+IFERROR(INDEX(Shows!$H$4:$H$23,MATCH($B350,Shows!$A$4:$A$23,0)),0),2))</f>
        <v/>
      </c>
      <c r="Q350" s="44">
        <f>IF($C350="","",$J350+$K350-$P350)</f>
        <v/>
      </c>
      <c r="R350" s="40" t="n"/>
      <c r="S350" s="40" t="n"/>
      <c r="T350" s="40" t="n"/>
    </row>
    <row r="351">
      <c r="A351" s="48" t="n"/>
      <c r="B351" s="34" t="n"/>
      <c r="C351" s="34" t="n"/>
      <c r="D351" s="15">
        <f>IF($C351="","",IFERROR(INDEX(Inventory!$B$4:$B$253,MATCH($C351,Inventory!$A$4:$A$253,0))&amp;" "&amp;INDEX(Inventory!$C$4:$C$253,MATCH($C351,Inventory!$A$4:$A$253,0)),"SKU not in Inventory"))</f>
        <v/>
      </c>
      <c r="E351" s="36" t="n"/>
      <c r="F351" s="35" t="n"/>
      <c r="G351" s="35" t="n"/>
      <c r="H351" s="49">
        <f>IF($C351="","",IFERROR(INDEX(Inventory!$H$4:$H$253,MATCH($C351,Inventory!$A$4:$A$253,0)),0))</f>
        <v/>
      </c>
      <c r="I351" s="34" t="n"/>
      <c r="J351" s="38">
        <f>IF($C351="","",MAX(0,$E351*$F351-$G351))</f>
        <v/>
      </c>
      <c r="K351" s="38">
        <f>IF(OR($C351="",$I351="No"),0,ROUND($J351*IFERROR(INDEX(Shows!$F$4:$F$23,MATCH($B351,Shows!$A$4:$A$23,0)),0),2))</f>
        <v/>
      </c>
      <c r="L351" s="38">
        <f>IF($C351="","",$E351*$H351)</f>
        <v/>
      </c>
      <c r="M351" s="38">
        <f>IF($C351="","",$J351-$L351-$P351)</f>
        <v/>
      </c>
      <c r="N351" s="34" t="n"/>
      <c r="O351" s="34" t="n"/>
      <c r="P351" s="38">
        <f>IF(OR($C351="",$N351&lt;&gt;"Card"),0,ROUND(($J351+$K351)*IFERROR(INDEX(Shows!$G$4:$G$23,MATCH($B351,Shows!$A$4:$A$23,0)),0)+IFERROR(INDEX(Shows!$H$4:$H$23,MATCH($B351,Shows!$A$4:$A$23,0)),0),2))</f>
        <v/>
      </c>
      <c r="Q351" s="38">
        <f>IF($C351="","",$J351+$K351-$P351)</f>
        <v/>
      </c>
      <c r="R351" s="34" t="n"/>
      <c r="S351" s="34" t="n"/>
      <c r="T351" s="34" t="n"/>
    </row>
    <row r="352">
      <c r="A352" s="46" t="n"/>
      <c r="B352" s="40" t="n"/>
      <c r="C352" s="40" t="n"/>
      <c r="D352" s="11">
        <f>IF($C352="","",IFERROR(INDEX(Inventory!$B$4:$B$253,MATCH($C352,Inventory!$A$4:$A$253,0))&amp;" "&amp;INDEX(Inventory!$C$4:$C$253,MATCH($C352,Inventory!$A$4:$A$253,0)),"SKU not in Inventory"))</f>
        <v/>
      </c>
      <c r="E352" s="42" t="n"/>
      <c r="F352" s="41" t="n"/>
      <c r="G352" s="41" t="n"/>
      <c r="H352" s="47">
        <f>IF($C352="","",IFERROR(INDEX(Inventory!$H$4:$H$253,MATCH($C352,Inventory!$A$4:$A$253,0)),0))</f>
        <v/>
      </c>
      <c r="I352" s="40" t="n"/>
      <c r="J352" s="44">
        <f>IF($C352="","",MAX(0,$E352*$F352-$G352))</f>
        <v/>
      </c>
      <c r="K352" s="44">
        <f>IF(OR($C352="",$I352="No"),0,ROUND($J352*IFERROR(INDEX(Shows!$F$4:$F$23,MATCH($B352,Shows!$A$4:$A$23,0)),0),2))</f>
        <v/>
      </c>
      <c r="L352" s="44">
        <f>IF($C352="","",$E352*$H352)</f>
        <v/>
      </c>
      <c r="M352" s="44">
        <f>IF($C352="","",$J352-$L352-$P352)</f>
        <v/>
      </c>
      <c r="N352" s="40" t="n"/>
      <c r="O352" s="40" t="n"/>
      <c r="P352" s="44">
        <f>IF(OR($C352="",$N352&lt;&gt;"Card"),0,ROUND(($J352+$K352)*IFERROR(INDEX(Shows!$G$4:$G$23,MATCH($B352,Shows!$A$4:$A$23,0)),0)+IFERROR(INDEX(Shows!$H$4:$H$23,MATCH($B352,Shows!$A$4:$A$23,0)),0),2))</f>
        <v/>
      </c>
      <c r="Q352" s="44">
        <f>IF($C352="","",$J352+$K352-$P352)</f>
        <v/>
      </c>
      <c r="R352" s="40" t="n"/>
      <c r="S352" s="40" t="n"/>
      <c r="T352" s="40" t="n"/>
    </row>
    <row r="353">
      <c r="A353" s="48" t="n"/>
      <c r="B353" s="34" t="n"/>
      <c r="C353" s="34" t="n"/>
      <c r="D353" s="15">
        <f>IF($C353="","",IFERROR(INDEX(Inventory!$B$4:$B$253,MATCH($C353,Inventory!$A$4:$A$253,0))&amp;" "&amp;INDEX(Inventory!$C$4:$C$253,MATCH($C353,Inventory!$A$4:$A$253,0)),"SKU not in Inventory"))</f>
        <v/>
      </c>
      <c r="E353" s="36" t="n"/>
      <c r="F353" s="35" t="n"/>
      <c r="G353" s="35" t="n"/>
      <c r="H353" s="49">
        <f>IF($C353="","",IFERROR(INDEX(Inventory!$H$4:$H$253,MATCH($C353,Inventory!$A$4:$A$253,0)),0))</f>
        <v/>
      </c>
      <c r="I353" s="34" t="n"/>
      <c r="J353" s="38">
        <f>IF($C353="","",MAX(0,$E353*$F353-$G353))</f>
        <v/>
      </c>
      <c r="K353" s="38">
        <f>IF(OR($C353="",$I353="No"),0,ROUND($J353*IFERROR(INDEX(Shows!$F$4:$F$23,MATCH($B353,Shows!$A$4:$A$23,0)),0),2))</f>
        <v/>
      </c>
      <c r="L353" s="38">
        <f>IF($C353="","",$E353*$H353)</f>
        <v/>
      </c>
      <c r="M353" s="38">
        <f>IF($C353="","",$J353-$L353-$P353)</f>
        <v/>
      </c>
      <c r="N353" s="34" t="n"/>
      <c r="O353" s="34" t="n"/>
      <c r="P353" s="38">
        <f>IF(OR($C353="",$N353&lt;&gt;"Card"),0,ROUND(($J353+$K353)*IFERROR(INDEX(Shows!$G$4:$G$23,MATCH($B353,Shows!$A$4:$A$23,0)),0)+IFERROR(INDEX(Shows!$H$4:$H$23,MATCH($B353,Shows!$A$4:$A$23,0)),0),2))</f>
        <v/>
      </c>
      <c r="Q353" s="38">
        <f>IF($C353="","",$J353+$K353-$P353)</f>
        <v/>
      </c>
      <c r="R353" s="34" t="n"/>
      <c r="S353" s="34" t="n"/>
      <c r="T353" s="34" t="n"/>
    </row>
    <row r="354">
      <c r="A354" s="46" t="n"/>
      <c r="B354" s="40" t="n"/>
      <c r="C354" s="40" t="n"/>
      <c r="D354" s="11">
        <f>IF($C354="","",IFERROR(INDEX(Inventory!$B$4:$B$253,MATCH($C354,Inventory!$A$4:$A$253,0))&amp;" "&amp;INDEX(Inventory!$C$4:$C$253,MATCH($C354,Inventory!$A$4:$A$253,0)),"SKU not in Inventory"))</f>
        <v/>
      </c>
      <c r="E354" s="42" t="n"/>
      <c r="F354" s="41" t="n"/>
      <c r="G354" s="41" t="n"/>
      <c r="H354" s="47">
        <f>IF($C354="","",IFERROR(INDEX(Inventory!$H$4:$H$253,MATCH($C354,Inventory!$A$4:$A$253,0)),0))</f>
        <v/>
      </c>
      <c r="I354" s="40" t="n"/>
      <c r="J354" s="44">
        <f>IF($C354="","",MAX(0,$E354*$F354-$G354))</f>
        <v/>
      </c>
      <c r="K354" s="44">
        <f>IF(OR($C354="",$I354="No"),0,ROUND($J354*IFERROR(INDEX(Shows!$F$4:$F$23,MATCH($B354,Shows!$A$4:$A$23,0)),0),2))</f>
        <v/>
      </c>
      <c r="L354" s="44">
        <f>IF($C354="","",$E354*$H354)</f>
        <v/>
      </c>
      <c r="M354" s="44">
        <f>IF($C354="","",$J354-$L354-$P354)</f>
        <v/>
      </c>
      <c r="N354" s="40" t="n"/>
      <c r="O354" s="40" t="n"/>
      <c r="P354" s="44">
        <f>IF(OR($C354="",$N354&lt;&gt;"Card"),0,ROUND(($J354+$K354)*IFERROR(INDEX(Shows!$G$4:$G$23,MATCH($B354,Shows!$A$4:$A$23,0)),0)+IFERROR(INDEX(Shows!$H$4:$H$23,MATCH($B354,Shows!$A$4:$A$23,0)),0),2))</f>
        <v/>
      </c>
      <c r="Q354" s="44">
        <f>IF($C354="","",$J354+$K354-$P354)</f>
        <v/>
      </c>
      <c r="R354" s="40" t="n"/>
      <c r="S354" s="40" t="n"/>
      <c r="T354" s="40" t="n"/>
    </row>
    <row r="355">
      <c r="A355" s="48" t="n"/>
      <c r="B355" s="34" t="n"/>
      <c r="C355" s="34" t="n"/>
      <c r="D355" s="15">
        <f>IF($C355="","",IFERROR(INDEX(Inventory!$B$4:$B$253,MATCH($C355,Inventory!$A$4:$A$253,0))&amp;" "&amp;INDEX(Inventory!$C$4:$C$253,MATCH($C355,Inventory!$A$4:$A$253,0)),"SKU not in Inventory"))</f>
        <v/>
      </c>
      <c r="E355" s="36" t="n"/>
      <c r="F355" s="35" t="n"/>
      <c r="G355" s="35" t="n"/>
      <c r="H355" s="49">
        <f>IF($C355="","",IFERROR(INDEX(Inventory!$H$4:$H$253,MATCH($C355,Inventory!$A$4:$A$253,0)),0))</f>
        <v/>
      </c>
      <c r="I355" s="34" t="n"/>
      <c r="J355" s="38">
        <f>IF($C355="","",MAX(0,$E355*$F355-$G355))</f>
        <v/>
      </c>
      <c r="K355" s="38">
        <f>IF(OR($C355="",$I355="No"),0,ROUND($J355*IFERROR(INDEX(Shows!$F$4:$F$23,MATCH($B355,Shows!$A$4:$A$23,0)),0),2))</f>
        <v/>
      </c>
      <c r="L355" s="38">
        <f>IF($C355="","",$E355*$H355)</f>
        <v/>
      </c>
      <c r="M355" s="38">
        <f>IF($C355="","",$J355-$L355-$P355)</f>
        <v/>
      </c>
      <c r="N355" s="34" t="n"/>
      <c r="O355" s="34" t="n"/>
      <c r="P355" s="38">
        <f>IF(OR($C355="",$N355&lt;&gt;"Card"),0,ROUND(($J355+$K355)*IFERROR(INDEX(Shows!$G$4:$G$23,MATCH($B355,Shows!$A$4:$A$23,0)),0)+IFERROR(INDEX(Shows!$H$4:$H$23,MATCH($B355,Shows!$A$4:$A$23,0)),0),2))</f>
        <v/>
      </c>
      <c r="Q355" s="38">
        <f>IF($C355="","",$J355+$K355-$P355)</f>
        <v/>
      </c>
      <c r="R355" s="34" t="n"/>
      <c r="S355" s="34" t="n"/>
      <c r="T355" s="34" t="n"/>
    </row>
    <row r="356">
      <c r="A356" s="46" t="n"/>
      <c r="B356" s="40" t="n"/>
      <c r="C356" s="40" t="n"/>
      <c r="D356" s="11">
        <f>IF($C356="","",IFERROR(INDEX(Inventory!$B$4:$B$253,MATCH($C356,Inventory!$A$4:$A$253,0))&amp;" "&amp;INDEX(Inventory!$C$4:$C$253,MATCH($C356,Inventory!$A$4:$A$253,0)),"SKU not in Inventory"))</f>
        <v/>
      </c>
      <c r="E356" s="42" t="n"/>
      <c r="F356" s="41" t="n"/>
      <c r="G356" s="41" t="n"/>
      <c r="H356" s="47">
        <f>IF($C356="","",IFERROR(INDEX(Inventory!$H$4:$H$253,MATCH($C356,Inventory!$A$4:$A$253,0)),0))</f>
        <v/>
      </c>
      <c r="I356" s="40" t="n"/>
      <c r="J356" s="44">
        <f>IF($C356="","",MAX(0,$E356*$F356-$G356))</f>
        <v/>
      </c>
      <c r="K356" s="44">
        <f>IF(OR($C356="",$I356="No"),0,ROUND($J356*IFERROR(INDEX(Shows!$F$4:$F$23,MATCH($B356,Shows!$A$4:$A$23,0)),0),2))</f>
        <v/>
      </c>
      <c r="L356" s="44">
        <f>IF($C356="","",$E356*$H356)</f>
        <v/>
      </c>
      <c r="M356" s="44">
        <f>IF($C356="","",$J356-$L356-$P356)</f>
        <v/>
      </c>
      <c r="N356" s="40" t="n"/>
      <c r="O356" s="40" t="n"/>
      <c r="P356" s="44">
        <f>IF(OR($C356="",$N356&lt;&gt;"Card"),0,ROUND(($J356+$K356)*IFERROR(INDEX(Shows!$G$4:$G$23,MATCH($B356,Shows!$A$4:$A$23,0)),0)+IFERROR(INDEX(Shows!$H$4:$H$23,MATCH($B356,Shows!$A$4:$A$23,0)),0),2))</f>
        <v/>
      </c>
      <c r="Q356" s="44">
        <f>IF($C356="","",$J356+$K356-$P356)</f>
        <v/>
      </c>
      <c r="R356" s="40" t="n"/>
      <c r="S356" s="40" t="n"/>
      <c r="T356" s="40" t="n"/>
    </row>
    <row r="357">
      <c r="A357" s="48" t="n"/>
      <c r="B357" s="34" t="n"/>
      <c r="C357" s="34" t="n"/>
      <c r="D357" s="15">
        <f>IF($C357="","",IFERROR(INDEX(Inventory!$B$4:$B$253,MATCH($C357,Inventory!$A$4:$A$253,0))&amp;" "&amp;INDEX(Inventory!$C$4:$C$253,MATCH($C357,Inventory!$A$4:$A$253,0)),"SKU not in Inventory"))</f>
        <v/>
      </c>
      <c r="E357" s="36" t="n"/>
      <c r="F357" s="35" t="n"/>
      <c r="G357" s="35" t="n"/>
      <c r="H357" s="49">
        <f>IF($C357="","",IFERROR(INDEX(Inventory!$H$4:$H$253,MATCH($C357,Inventory!$A$4:$A$253,0)),0))</f>
        <v/>
      </c>
      <c r="I357" s="34" t="n"/>
      <c r="J357" s="38">
        <f>IF($C357="","",MAX(0,$E357*$F357-$G357))</f>
        <v/>
      </c>
      <c r="K357" s="38">
        <f>IF(OR($C357="",$I357="No"),0,ROUND($J357*IFERROR(INDEX(Shows!$F$4:$F$23,MATCH($B357,Shows!$A$4:$A$23,0)),0),2))</f>
        <v/>
      </c>
      <c r="L357" s="38">
        <f>IF($C357="","",$E357*$H357)</f>
        <v/>
      </c>
      <c r="M357" s="38">
        <f>IF($C357="","",$J357-$L357-$P357)</f>
        <v/>
      </c>
      <c r="N357" s="34" t="n"/>
      <c r="O357" s="34" t="n"/>
      <c r="P357" s="38">
        <f>IF(OR($C357="",$N357&lt;&gt;"Card"),0,ROUND(($J357+$K357)*IFERROR(INDEX(Shows!$G$4:$G$23,MATCH($B357,Shows!$A$4:$A$23,0)),0)+IFERROR(INDEX(Shows!$H$4:$H$23,MATCH($B357,Shows!$A$4:$A$23,0)),0),2))</f>
        <v/>
      </c>
      <c r="Q357" s="38">
        <f>IF($C357="","",$J357+$K357-$P357)</f>
        <v/>
      </c>
      <c r="R357" s="34" t="n"/>
      <c r="S357" s="34" t="n"/>
      <c r="T357" s="34" t="n"/>
    </row>
    <row r="358">
      <c r="A358" s="46" t="n"/>
      <c r="B358" s="40" t="n"/>
      <c r="C358" s="40" t="n"/>
      <c r="D358" s="11">
        <f>IF($C358="","",IFERROR(INDEX(Inventory!$B$4:$B$253,MATCH($C358,Inventory!$A$4:$A$253,0))&amp;" "&amp;INDEX(Inventory!$C$4:$C$253,MATCH($C358,Inventory!$A$4:$A$253,0)),"SKU not in Inventory"))</f>
        <v/>
      </c>
      <c r="E358" s="42" t="n"/>
      <c r="F358" s="41" t="n"/>
      <c r="G358" s="41" t="n"/>
      <c r="H358" s="47">
        <f>IF($C358="","",IFERROR(INDEX(Inventory!$H$4:$H$253,MATCH($C358,Inventory!$A$4:$A$253,0)),0))</f>
        <v/>
      </c>
      <c r="I358" s="40" t="n"/>
      <c r="J358" s="44">
        <f>IF($C358="","",MAX(0,$E358*$F358-$G358))</f>
        <v/>
      </c>
      <c r="K358" s="44">
        <f>IF(OR($C358="",$I358="No"),0,ROUND($J358*IFERROR(INDEX(Shows!$F$4:$F$23,MATCH($B358,Shows!$A$4:$A$23,0)),0),2))</f>
        <v/>
      </c>
      <c r="L358" s="44">
        <f>IF($C358="","",$E358*$H358)</f>
        <v/>
      </c>
      <c r="M358" s="44">
        <f>IF($C358="","",$J358-$L358-$P358)</f>
        <v/>
      </c>
      <c r="N358" s="40" t="n"/>
      <c r="O358" s="40" t="n"/>
      <c r="P358" s="44">
        <f>IF(OR($C358="",$N358&lt;&gt;"Card"),0,ROUND(($J358+$K358)*IFERROR(INDEX(Shows!$G$4:$G$23,MATCH($B358,Shows!$A$4:$A$23,0)),0)+IFERROR(INDEX(Shows!$H$4:$H$23,MATCH($B358,Shows!$A$4:$A$23,0)),0),2))</f>
        <v/>
      </c>
      <c r="Q358" s="44">
        <f>IF($C358="","",$J358+$K358-$P358)</f>
        <v/>
      </c>
      <c r="R358" s="40" t="n"/>
      <c r="S358" s="40" t="n"/>
      <c r="T358" s="40" t="n"/>
    </row>
    <row r="359">
      <c r="A359" s="48" t="n"/>
      <c r="B359" s="34" t="n"/>
      <c r="C359" s="34" t="n"/>
      <c r="D359" s="15">
        <f>IF($C359="","",IFERROR(INDEX(Inventory!$B$4:$B$253,MATCH($C359,Inventory!$A$4:$A$253,0))&amp;" "&amp;INDEX(Inventory!$C$4:$C$253,MATCH($C359,Inventory!$A$4:$A$253,0)),"SKU not in Inventory"))</f>
        <v/>
      </c>
      <c r="E359" s="36" t="n"/>
      <c r="F359" s="35" t="n"/>
      <c r="G359" s="35" t="n"/>
      <c r="H359" s="49">
        <f>IF($C359="","",IFERROR(INDEX(Inventory!$H$4:$H$253,MATCH($C359,Inventory!$A$4:$A$253,0)),0))</f>
        <v/>
      </c>
      <c r="I359" s="34" t="n"/>
      <c r="J359" s="38">
        <f>IF($C359="","",MAX(0,$E359*$F359-$G359))</f>
        <v/>
      </c>
      <c r="K359" s="38">
        <f>IF(OR($C359="",$I359="No"),0,ROUND($J359*IFERROR(INDEX(Shows!$F$4:$F$23,MATCH($B359,Shows!$A$4:$A$23,0)),0),2))</f>
        <v/>
      </c>
      <c r="L359" s="38">
        <f>IF($C359="","",$E359*$H359)</f>
        <v/>
      </c>
      <c r="M359" s="38">
        <f>IF($C359="","",$J359-$L359-$P359)</f>
        <v/>
      </c>
      <c r="N359" s="34" t="n"/>
      <c r="O359" s="34" t="n"/>
      <c r="P359" s="38">
        <f>IF(OR($C359="",$N359&lt;&gt;"Card"),0,ROUND(($J359+$K359)*IFERROR(INDEX(Shows!$G$4:$G$23,MATCH($B359,Shows!$A$4:$A$23,0)),0)+IFERROR(INDEX(Shows!$H$4:$H$23,MATCH($B359,Shows!$A$4:$A$23,0)),0),2))</f>
        <v/>
      </c>
      <c r="Q359" s="38">
        <f>IF($C359="","",$J359+$K359-$P359)</f>
        <v/>
      </c>
      <c r="R359" s="34" t="n"/>
      <c r="S359" s="34" t="n"/>
      <c r="T359" s="34" t="n"/>
    </row>
    <row r="360">
      <c r="A360" s="46" t="n"/>
      <c r="B360" s="40" t="n"/>
      <c r="C360" s="40" t="n"/>
      <c r="D360" s="11">
        <f>IF($C360="","",IFERROR(INDEX(Inventory!$B$4:$B$253,MATCH($C360,Inventory!$A$4:$A$253,0))&amp;" "&amp;INDEX(Inventory!$C$4:$C$253,MATCH($C360,Inventory!$A$4:$A$253,0)),"SKU not in Inventory"))</f>
        <v/>
      </c>
      <c r="E360" s="42" t="n"/>
      <c r="F360" s="41" t="n"/>
      <c r="G360" s="41" t="n"/>
      <c r="H360" s="47">
        <f>IF($C360="","",IFERROR(INDEX(Inventory!$H$4:$H$253,MATCH($C360,Inventory!$A$4:$A$253,0)),0))</f>
        <v/>
      </c>
      <c r="I360" s="40" t="n"/>
      <c r="J360" s="44">
        <f>IF($C360="","",MAX(0,$E360*$F360-$G360))</f>
        <v/>
      </c>
      <c r="K360" s="44">
        <f>IF(OR($C360="",$I360="No"),0,ROUND($J360*IFERROR(INDEX(Shows!$F$4:$F$23,MATCH($B360,Shows!$A$4:$A$23,0)),0),2))</f>
        <v/>
      </c>
      <c r="L360" s="44">
        <f>IF($C360="","",$E360*$H360)</f>
        <v/>
      </c>
      <c r="M360" s="44">
        <f>IF($C360="","",$J360-$L360-$P360)</f>
        <v/>
      </c>
      <c r="N360" s="40" t="n"/>
      <c r="O360" s="40" t="n"/>
      <c r="P360" s="44">
        <f>IF(OR($C360="",$N360&lt;&gt;"Card"),0,ROUND(($J360+$K360)*IFERROR(INDEX(Shows!$G$4:$G$23,MATCH($B360,Shows!$A$4:$A$23,0)),0)+IFERROR(INDEX(Shows!$H$4:$H$23,MATCH($B360,Shows!$A$4:$A$23,0)),0),2))</f>
        <v/>
      </c>
      <c r="Q360" s="44">
        <f>IF($C360="","",$J360+$K360-$P360)</f>
        <v/>
      </c>
      <c r="R360" s="40" t="n"/>
      <c r="S360" s="40" t="n"/>
      <c r="T360" s="40" t="n"/>
    </row>
    <row r="361">
      <c r="A361" s="48" t="n"/>
      <c r="B361" s="34" t="n"/>
      <c r="C361" s="34" t="n"/>
      <c r="D361" s="15">
        <f>IF($C361="","",IFERROR(INDEX(Inventory!$B$4:$B$253,MATCH($C361,Inventory!$A$4:$A$253,0))&amp;" "&amp;INDEX(Inventory!$C$4:$C$253,MATCH($C361,Inventory!$A$4:$A$253,0)),"SKU not in Inventory"))</f>
        <v/>
      </c>
      <c r="E361" s="36" t="n"/>
      <c r="F361" s="35" t="n"/>
      <c r="G361" s="35" t="n"/>
      <c r="H361" s="49">
        <f>IF($C361="","",IFERROR(INDEX(Inventory!$H$4:$H$253,MATCH($C361,Inventory!$A$4:$A$253,0)),0))</f>
        <v/>
      </c>
      <c r="I361" s="34" t="n"/>
      <c r="J361" s="38">
        <f>IF($C361="","",MAX(0,$E361*$F361-$G361))</f>
        <v/>
      </c>
      <c r="K361" s="38">
        <f>IF(OR($C361="",$I361="No"),0,ROUND($J361*IFERROR(INDEX(Shows!$F$4:$F$23,MATCH($B361,Shows!$A$4:$A$23,0)),0),2))</f>
        <v/>
      </c>
      <c r="L361" s="38">
        <f>IF($C361="","",$E361*$H361)</f>
        <v/>
      </c>
      <c r="M361" s="38">
        <f>IF($C361="","",$J361-$L361-$P361)</f>
        <v/>
      </c>
      <c r="N361" s="34" t="n"/>
      <c r="O361" s="34" t="n"/>
      <c r="P361" s="38">
        <f>IF(OR($C361="",$N361&lt;&gt;"Card"),0,ROUND(($J361+$K361)*IFERROR(INDEX(Shows!$G$4:$G$23,MATCH($B361,Shows!$A$4:$A$23,0)),0)+IFERROR(INDEX(Shows!$H$4:$H$23,MATCH($B361,Shows!$A$4:$A$23,0)),0),2))</f>
        <v/>
      </c>
      <c r="Q361" s="38">
        <f>IF($C361="","",$J361+$K361-$P361)</f>
        <v/>
      </c>
      <c r="R361" s="34" t="n"/>
      <c r="S361" s="34" t="n"/>
      <c r="T361" s="34" t="n"/>
    </row>
    <row r="362">
      <c r="A362" s="46" t="n"/>
      <c r="B362" s="40" t="n"/>
      <c r="C362" s="40" t="n"/>
      <c r="D362" s="11">
        <f>IF($C362="","",IFERROR(INDEX(Inventory!$B$4:$B$253,MATCH($C362,Inventory!$A$4:$A$253,0))&amp;" "&amp;INDEX(Inventory!$C$4:$C$253,MATCH($C362,Inventory!$A$4:$A$253,0)),"SKU not in Inventory"))</f>
        <v/>
      </c>
      <c r="E362" s="42" t="n"/>
      <c r="F362" s="41" t="n"/>
      <c r="G362" s="41" t="n"/>
      <c r="H362" s="47">
        <f>IF($C362="","",IFERROR(INDEX(Inventory!$H$4:$H$253,MATCH($C362,Inventory!$A$4:$A$253,0)),0))</f>
        <v/>
      </c>
      <c r="I362" s="40" t="n"/>
      <c r="J362" s="44">
        <f>IF($C362="","",MAX(0,$E362*$F362-$G362))</f>
        <v/>
      </c>
      <c r="K362" s="44">
        <f>IF(OR($C362="",$I362="No"),0,ROUND($J362*IFERROR(INDEX(Shows!$F$4:$F$23,MATCH($B362,Shows!$A$4:$A$23,0)),0),2))</f>
        <v/>
      </c>
      <c r="L362" s="44">
        <f>IF($C362="","",$E362*$H362)</f>
        <v/>
      </c>
      <c r="M362" s="44">
        <f>IF($C362="","",$J362-$L362-$P362)</f>
        <v/>
      </c>
      <c r="N362" s="40" t="n"/>
      <c r="O362" s="40" t="n"/>
      <c r="P362" s="44">
        <f>IF(OR($C362="",$N362&lt;&gt;"Card"),0,ROUND(($J362+$K362)*IFERROR(INDEX(Shows!$G$4:$G$23,MATCH($B362,Shows!$A$4:$A$23,0)),0)+IFERROR(INDEX(Shows!$H$4:$H$23,MATCH($B362,Shows!$A$4:$A$23,0)),0),2))</f>
        <v/>
      </c>
      <c r="Q362" s="44">
        <f>IF($C362="","",$J362+$K362-$P362)</f>
        <v/>
      </c>
      <c r="R362" s="40" t="n"/>
      <c r="S362" s="40" t="n"/>
      <c r="T362" s="40" t="n"/>
    </row>
    <row r="363">
      <c r="A363" s="48" t="n"/>
      <c r="B363" s="34" t="n"/>
      <c r="C363" s="34" t="n"/>
      <c r="D363" s="15">
        <f>IF($C363="","",IFERROR(INDEX(Inventory!$B$4:$B$253,MATCH($C363,Inventory!$A$4:$A$253,0))&amp;" "&amp;INDEX(Inventory!$C$4:$C$253,MATCH($C363,Inventory!$A$4:$A$253,0)),"SKU not in Inventory"))</f>
        <v/>
      </c>
      <c r="E363" s="36" t="n"/>
      <c r="F363" s="35" t="n"/>
      <c r="G363" s="35" t="n"/>
      <c r="H363" s="49">
        <f>IF($C363="","",IFERROR(INDEX(Inventory!$H$4:$H$253,MATCH($C363,Inventory!$A$4:$A$253,0)),0))</f>
        <v/>
      </c>
      <c r="I363" s="34" t="n"/>
      <c r="J363" s="38">
        <f>IF($C363="","",MAX(0,$E363*$F363-$G363))</f>
        <v/>
      </c>
      <c r="K363" s="38">
        <f>IF(OR($C363="",$I363="No"),0,ROUND($J363*IFERROR(INDEX(Shows!$F$4:$F$23,MATCH($B363,Shows!$A$4:$A$23,0)),0),2))</f>
        <v/>
      </c>
      <c r="L363" s="38">
        <f>IF($C363="","",$E363*$H363)</f>
        <v/>
      </c>
      <c r="M363" s="38">
        <f>IF($C363="","",$J363-$L363-$P363)</f>
        <v/>
      </c>
      <c r="N363" s="34" t="n"/>
      <c r="O363" s="34" t="n"/>
      <c r="P363" s="38">
        <f>IF(OR($C363="",$N363&lt;&gt;"Card"),0,ROUND(($J363+$K363)*IFERROR(INDEX(Shows!$G$4:$G$23,MATCH($B363,Shows!$A$4:$A$23,0)),0)+IFERROR(INDEX(Shows!$H$4:$H$23,MATCH($B363,Shows!$A$4:$A$23,0)),0),2))</f>
        <v/>
      </c>
      <c r="Q363" s="38">
        <f>IF($C363="","",$J363+$K363-$P363)</f>
        <v/>
      </c>
      <c r="R363" s="34" t="n"/>
      <c r="S363" s="34" t="n"/>
      <c r="T363" s="34" t="n"/>
    </row>
    <row r="364">
      <c r="A364" s="46" t="n"/>
      <c r="B364" s="40" t="n"/>
      <c r="C364" s="40" t="n"/>
      <c r="D364" s="11">
        <f>IF($C364="","",IFERROR(INDEX(Inventory!$B$4:$B$253,MATCH($C364,Inventory!$A$4:$A$253,0))&amp;" "&amp;INDEX(Inventory!$C$4:$C$253,MATCH($C364,Inventory!$A$4:$A$253,0)),"SKU not in Inventory"))</f>
        <v/>
      </c>
      <c r="E364" s="42" t="n"/>
      <c r="F364" s="41" t="n"/>
      <c r="G364" s="41" t="n"/>
      <c r="H364" s="47">
        <f>IF($C364="","",IFERROR(INDEX(Inventory!$H$4:$H$253,MATCH($C364,Inventory!$A$4:$A$253,0)),0))</f>
        <v/>
      </c>
      <c r="I364" s="40" t="n"/>
      <c r="J364" s="44">
        <f>IF($C364="","",MAX(0,$E364*$F364-$G364))</f>
        <v/>
      </c>
      <c r="K364" s="44">
        <f>IF(OR($C364="",$I364="No"),0,ROUND($J364*IFERROR(INDEX(Shows!$F$4:$F$23,MATCH($B364,Shows!$A$4:$A$23,0)),0),2))</f>
        <v/>
      </c>
      <c r="L364" s="44">
        <f>IF($C364="","",$E364*$H364)</f>
        <v/>
      </c>
      <c r="M364" s="44">
        <f>IF($C364="","",$J364-$L364-$P364)</f>
        <v/>
      </c>
      <c r="N364" s="40" t="n"/>
      <c r="O364" s="40" t="n"/>
      <c r="P364" s="44">
        <f>IF(OR($C364="",$N364&lt;&gt;"Card"),0,ROUND(($J364+$K364)*IFERROR(INDEX(Shows!$G$4:$G$23,MATCH($B364,Shows!$A$4:$A$23,0)),0)+IFERROR(INDEX(Shows!$H$4:$H$23,MATCH($B364,Shows!$A$4:$A$23,0)),0),2))</f>
        <v/>
      </c>
      <c r="Q364" s="44">
        <f>IF($C364="","",$J364+$K364-$P364)</f>
        <v/>
      </c>
      <c r="R364" s="40" t="n"/>
      <c r="S364" s="40" t="n"/>
      <c r="T364" s="40" t="n"/>
    </row>
    <row r="365">
      <c r="A365" s="48" t="n"/>
      <c r="B365" s="34" t="n"/>
      <c r="C365" s="34" t="n"/>
      <c r="D365" s="15">
        <f>IF($C365="","",IFERROR(INDEX(Inventory!$B$4:$B$253,MATCH($C365,Inventory!$A$4:$A$253,0))&amp;" "&amp;INDEX(Inventory!$C$4:$C$253,MATCH($C365,Inventory!$A$4:$A$253,0)),"SKU not in Inventory"))</f>
        <v/>
      </c>
      <c r="E365" s="36" t="n"/>
      <c r="F365" s="35" t="n"/>
      <c r="G365" s="35" t="n"/>
      <c r="H365" s="49">
        <f>IF($C365="","",IFERROR(INDEX(Inventory!$H$4:$H$253,MATCH($C365,Inventory!$A$4:$A$253,0)),0))</f>
        <v/>
      </c>
      <c r="I365" s="34" t="n"/>
      <c r="J365" s="38">
        <f>IF($C365="","",MAX(0,$E365*$F365-$G365))</f>
        <v/>
      </c>
      <c r="K365" s="38">
        <f>IF(OR($C365="",$I365="No"),0,ROUND($J365*IFERROR(INDEX(Shows!$F$4:$F$23,MATCH($B365,Shows!$A$4:$A$23,0)),0),2))</f>
        <v/>
      </c>
      <c r="L365" s="38">
        <f>IF($C365="","",$E365*$H365)</f>
        <v/>
      </c>
      <c r="M365" s="38">
        <f>IF($C365="","",$J365-$L365-$P365)</f>
        <v/>
      </c>
      <c r="N365" s="34" t="n"/>
      <c r="O365" s="34" t="n"/>
      <c r="P365" s="38">
        <f>IF(OR($C365="",$N365&lt;&gt;"Card"),0,ROUND(($J365+$K365)*IFERROR(INDEX(Shows!$G$4:$G$23,MATCH($B365,Shows!$A$4:$A$23,0)),0)+IFERROR(INDEX(Shows!$H$4:$H$23,MATCH($B365,Shows!$A$4:$A$23,0)),0),2))</f>
        <v/>
      </c>
      <c r="Q365" s="38">
        <f>IF($C365="","",$J365+$K365-$P365)</f>
        <v/>
      </c>
      <c r="R365" s="34" t="n"/>
      <c r="S365" s="34" t="n"/>
      <c r="T365" s="34" t="n"/>
    </row>
    <row r="366">
      <c r="A366" s="46" t="n"/>
      <c r="B366" s="40" t="n"/>
      <c r="C366" s="40" t="n"/>
      <c r="D366" s="11">
        <f>IF($C366="","",IFERROR(INDEX(Inventory!$B$4:$B$253,MATCH($C366,Inventory!$A$4:$A$253,0))&amp;" "&amp;INDEX(Inventory!$C$4:$C$253,MATCH($C366,Inventory!$A$4:$A$253,0)),"SKU not in Inventory"))</f>
        <v/>
      </c>
      <c r="E366" s="42" t="n"/>
      <c r="F366" s="41" t="n"/>
      <c r="G366" s="41" t="n"/>
      <c r="H366" s="47">
        <f>IF($C366="","",IFERROR(INDEX(Inventory!$H$4:$H$253,MATCH($C366,Inventory!$A$4:$A$253,0)),0))</f>
        <v/>
      </c>
      <c r="I366" s="40" t="n"/>
      <c r="J366" s="44">
        <f>IF($C366="","",MAX(0,$E366*$F366-$G366))</f>
        <v/>
      </c>
      <c r="K366" s="44">
        <f>IF(OR($C366="",$I366="No"),0,ROUND($J366*IFERROR(INDEX(Shows!$F$4:$F$23,MATCH($B366,Shows!$A$4:$A$23,0)),0),2))</f>
        <v/>
      </c>
      <c r="L366" s="44">
        <f>IF($C366="","",$E366*$H366)</f>
        <v/>
      </c>
      <c r="M366" s="44">
        <f>IF($C366="","",$J366-$L366-$P366)</f>
        <v/>
      </c>
      <c r="N366" s="40" t="n"/>
      <c r="O366" s="40" t="n"/>
      <c r="P366" s="44">
        <f>IF(OR($C366="",$N366&lt;&gt;"Card"),0,ROUND(($J366+$K366)*IFERROR(INDEX(Shows!$G$4:$G$23,MATCH($B366,Shows!$A$4:$A$23,0)),0)+IFERROR(INDEX(Shows!$H$4:$H$23,MATCH($B366,Shows!$A$4:$A$23,0)),0),2))</f>
        <v/>
      </c>
      <c r="Q366" s="44">
        <f>IF($C366="","",$J366+$K366-$P366)</f>
        <v/>
      </c>
      <c r="R366" s="40" t="n"/>
      <c r="S366" s="40" t="n"/>
      <c r="T366" s="40" t="n"/>
    </row>
    <row r="367">
      <c r="A367" s="48" t="n"/>
      <c r="B367" s="34" t="n"/>
      <c r="C367" s="34" t="n"/>
      <c r="D367" s="15">
        <f>IF($C367="","",IFERROR(INDEX(Inventory!$B$4:$B$253,MATCH($C367,Inventory!$A$4:$A$253,0))&amp;" "&amp;INDEX(Inventory!$C$4:$C$253,MATCH($C367,Inventory!$A$4:$A$253,0)),"SKU not in Inventory"))</f>
        <v/>
      </c>
      <c r="E367" s="36" t="n"/>
      <c r="F367" s="35" t="n"/>
      <c r="G367" s="35" t="n"/>
      <c r="H367" s="49">
        <f>IF($C367="","",IFERROR(INDEX(Inventory!$H$4:$H$253,MATCH($C367,Inventory!$A$4:$A$253,0)),0))</f>
        <v/>
      </c>
      <c r="I367" s="34" t="n"/>
      <c r="J367" s="38">
        <f>IF($C367="","",MAX(0,$E367*$F367-$G367))</f>
        <v/>
      </c>
      <c r="K367" s="38">
        <f>IF(OR($C367="",$I367="No"),0,ROUND($J367*IFERROR(INDEX(Shows!$F$4:$F$23,MATCH($B367,Shows!$A$4:$A$23,0)),0),2))</f>
        <v/>
      </c>
      <c r="L367" s="38">
        <f>IF($C367="","",$E367*$H367)</f>
        <v/>
      </c>
      <c r="M367" s="38">
        <f>IF($C367="","",$J367-$L367-$P367)</f>
        <v/>
      </c>
      <c r="N367" s="34" t="n"/>
      <c r="O367" s="34" t="n"/>
      <c r="P367" s="38">
        <f>IF(OR($C367="",$N367&lt;&gt;"Card"),0,ROUND(($J367+$K367)*IFERROR(INDEX(Shows!$G$4:$G$23,MATCH($B367,Shows!$A$4:$A$23,0)),0)+IFERROR(INDEX(Shows!$H$4:$H$23,MATCH($B367,Shows!$A$4:$A$23,0)),0),2))</f>
        <v/>
      </c>
      <c r="Q367" s="38">
        <f>IF($C367="","",$J367+$K367-$P367)</f>
        <v/>
      </c>
      <c r="R367" s="34" t="n"/>
      <c r="S367" s="34" t="n"/>
      <c r="T367" s="34" t="n"/>
    </row>
    <row r="368">
      <c r="A368" s="46" t="n"/>
      <c r="B368" s="40" t="n"/>
      <c r="C368" s="40" t="n"/>
      <c r="D368" s="11">
        <f>IF($C368="","",IFERROR(INDEX(Inventory!$B$4:$B$253,MATCH($C368,Inventory!$A$4:$A$253,0))&amp;" "&amp;INDEX(Inventory!$C$4:$C$253,MATCH($C368,Inventory!$A$4:$A$253,0)),"SKU not in Inventory"))</f>
        <v/>
      </c>
      <c r="E368" s="42" t="n"/>
      <c r="F368" s="41" t="n"/>
      <c r="G368" s="41" t="n"/>
      <c r="H368" s="47">
        <f>IF($C368="","",IFERROR(INDEX(Inventory!$H$4:$H$253,MATCH($C368,Inventory!$A$4:$A$253,0)),0))</f>
        <v/>
      </c>
      <c r="I368" s="40" t="n"/>
      <c r="J368" s="44">
        <f>IF($C368="","",MAX(0,$E368*$F368-$G368))</f>
        <v/>
      </c>
      <c r="K368" s="44">
        <f>IF(OR($C368="",$I368="No"),0,ROUND($J368*IFERROR(INDEX(Shows!$F$4:$F$23,MATCH($B368,Shows!$A$4:$A$23,0)),0),2))</f>
        <v/>
      </c>
      <c r="L368" s="44">
        <f>IF($C368="","",$E368*$H368)</f>
        <v/>
      </c>
      <c r="M368" s="44">
        <f>IF($C368="","",$J368-$L368-$P368)</f>
        <v/>
      </c>
      <c r="N368" s="40" t="n"/>
      <c r="O368" s="40" t="n"/>
      <c r="P368" s="44">
        <f>IF(OR($C368="",$N368&lt;&gt;"Card"),0,ROUND(($J368+$K368)*IFERROR(INDEX(Shows!$G$4:$G$23,MATCH($B368,Shows!$A$4:$A$23,0)),0)+IFERROR(INDEX(Shows!$H$4:$H$23,MATCH($B368,Shows!$A$4:$A$23,0)),0),2))</f>
        <v/>
      </c>
      <c r="Q368" s="44">
        <f>IF($C368="","",$J368+$K368-$P368)</f>
        <v/>
      </c>
      <c r="R368" s="40" t="n"/>
      <c r="S368" s="40" t="n"/>
      <c r="T368" s="40" t="n"/>
    </row>
    <row r="369">
      <c r="A369" s="48" t="n"/>
      <c r="B369" s="34" t="n"/>
      <c r="C369" s="34" t="n"/>
      <c r="D369" s="15">
        <f>IF($C369="","",IFERROR(INDEX(Inventory!$B$4:$B$253,MATCH($C369,Inventory!$A$4:$A$253,0))&amp;" "&amp;INDEX(Inventory!$C$4:$C$253,MATCH($C369,Inventory!$A$4:$A$253,0)),"SKU not in Inventory"))</f>
        <v/>
      </c>
      <c r="E369" s="36" t="n"/>
      <c r="F369" s="35" t="n"/>
      <c r="G369" s="35" t="n"/>
      <c r="H369" s="49">
        <f>IF($C369="","",IFERROR(INDEX(Inventory!$H$4:$H$253,MATCH($C369,Inventory!$A$4:$A$253,0)),0))</f>
        <v/>
      </c>
      <c r="I369" s="34" t="n"/>
      <c r="J369" s="38">
        <f>IF($C369="","",MAX(0,$E369*$F369-$G369))</f>
        <v/>
      </c>
      <c r="K369" s="38">
        <f>IF(OR($C369="",$I369="No"),0,ROUND($J369*IFERROR(INDEX(Shows!$F$4:$F$23,MATCH($B369,Shows!$A$4:$A$23,0)),0),2))</f>
        <v/>
      </c>
      <c r="L369" s="38">
        <f>IF($C369="","",$E369*$H369)</f>
        <v/>
      </c>
      <c r="M369" s="38">
        <f>IF($C369="","",$J369-$L369-$P369)</f>
        <v/>
      </c>
      <c r="N369" s="34" t="n"/>
      <c r="O369" s="34" t="n"/>
      <c r="P369" s="38">
        <f>IF(OR($C369="",$N369&lt;&gt;"Card"),0,ROUND(($J369+$K369)*IFERROR(INDEX(Shows!$G$4:$G$23,MATCH($B369,Shows!$A$4:$A$23,0)),0)+IFERROR(INDEX(Shows!$H$4:$H$23,MATCH($B369,Shows!$A$4:$A$23,0)),0),2))</f>
        <v/>
      </c>
      <c r="Q369" s="38">
        <f>IF($C369="","",$J369+$K369-$P369)</f>
        <v/>
      </c>
      <c r="R369" s="34" t="n"/>
      <c r="S369" s="34" t="n"/>
      <c r="T369" s="34" t="n"/>
    </row>
    <row r="370">
      <c r="A370" s="46" t="n"/>
      <c r="B370" s="40" t="n"/>
      <c r="C370" s="40" t="n"/>
      <c r="D370" s="11">
        <f>IF($C370="","",IFERROR(INDEX(Inventory!$B$4:$B$253,MATCH($C370,Inventory!$A$4:$A$253,0))&amp;" "&amp;INDEX(Inventory!$C$4:$C$253,MATCH($C370,Inventory!$A$4:$A$253,0)),"SKU not in Inventory"))</f>
        <v/>
      </c>
      <c r="E370" s="42" t="n"/>
      <c r="F370" s="41" t="n"/>
      <c r="G370" s="41" t="n"/>
      <c r="H370" s="47">
        <f>IF($C370="","",IFERROR(INDEX(Inventory!$H$4:$H$253,MATCH($C370,Inventory!$A$4:$A$253,0)),0))</f>
        <v/>
      </c>
      <c r="I370" s="40" t="n"/>
      <c r="J370" s="44">
        <f>IF($C370="","",MAX(0,$E370*$F370-$G370))</f>
        <v/>
      </c>
      <c r="K370" s="44">
        <f>IF(OR($C370="",$I370="No"),0,ROUND($J370*IFERROR(INDEX(Shows!$F$4:$F$23,MATCH($B370,Shows!$A$4:$A$23,0)),0),2))</f>
        <v/>
      </c>
      <c r="L370" s="44">
        <f>IF($C370="","",$E370*$H370)</f>
        <v/>
      </c>
      <c r="M370" s="44">
        <f>IF($C370="","",$J370-$L370-$P370)</f>
        <v/>
      </c>
      <c r="N370" s="40" t="n"/>
      <c r="O370" s="40" t="n"/>
      <c r="P370" s="44">
        <f>IF(OR($C370="",$N370&lt;&gt;"Card"),0,ROUND(($J370+$K370)*IFERROR(INDEX(Shows!$G$4:$G$23,MATCH($B370,Shows!$A$4:$A$23,0)),0)+IFERROR(INDEX(Shows!$H$4:$H$23,MATCH($B370,Shows!$A$4:$A$23,0)),0),2))</f>
        <v/>
      </c>
      <c r="Q370" s="44">
        <f>IF($C370="","",$J370+$K370-$P370)</f>
        <v/>
      </c>
      <c r="R370" s="40" t="n"/>
      <c r="S370" s="40" t="n"/>
      <c r="T370" s="40" t="n"/>
    </row>
    <row r="371">
      <c r="A371" s="48" t="n"/>
      <c r="B371" s="34" t="n"/>
      <c r="C371" s="34" t="n"/>
      <c r="D371" s="15">
        <f>IF($C371="","",IFERROR(INDEX(Inventory!$B$4:$B$253,MATCH($C371,Inventory!$A$4:$A$253,0))&amp;" "&amp;INDEX(Inventory!$C$4:$C$253,MATCH($C371,Inventory!$A$4:$A$253,0)),"SKU not in Inventory"))</f>
        <v/>
      </c>
      <c r="E371" s="36" t="n"/>
      <c r="F371" s="35" t="n"/>
      <c r="G371" s="35" t="n"/>
      <c r="H371" s="49">
        <f>IF($C371="","",IFERROR(INDEX(Inventory!$H$4:$H$253,MATCH($C371,Inventory!$A$4:$A$253,0)),0))</f>
        <v/>
      </c>
      <c r="I371" s="34" t="n"/>
      <c r="J371" s="38">
        <f>IF($C371="","",MAX(0,$E371*$F371-$G371))</f>
        <v/>
      </c>
      <c r="K371" s="38">
        <f>IF(OR($C371="",$I371="No"),0,ROUND($J371*IFERROR(INDEX(Shows!$F$4:$F$23,MATCH($B371,Shows!$A$4:$A$23,0)),0),2))</f>
        <v/>
      </c>
      <c r="L371" s="38">
        <f>IF($C371="","",$E371*$H371)</f>
        <v/>
      </c>
      <c r="M371" s="38">
        <f>IF($C371="","",$J371-$L371-$P371)</f>
        <v/>
      </c>
      <c r="N371" s="34" t="n"/>
      <c r="O371" s="34" t="n"/>
      <c r="P371" s="38">
        <f>IF(OR($C371="",$N371&lt;&gt;"Card"),0,ROUND(($J371+$K371)*IFERROR(INDEX(Shows!$G$4:$G$23,MATCH($B371,Shows!$A$4:$A$23,0)),0)+IFERROR(INDEX(Shows!$H$4:$H$23,MATCH($B371,Shows!$A$4:$A$23,0)),0),2))</f>
        <v/>
      </c>
      <c r="Q371" s="38">
        <f>IF($C371="","",$J371+$K371-$P371)</f>
        <v/>
      </c>
      <c r="R371" s="34" t="n"/>
      <c r="S371" s="34" t="n"/>
      <c r="T371" s="34" t="n"/>
    </row>
    <row r="372">
      <c r="A372" s="46" t="n"/>
      <c r="B372" s="40" t="n"/>
      <c r="C372" s="40" t="n"/>
      <c r="D372" s="11">
        <f>IF($C372="","",IFERROR(INDEX(Inventory!$B$4:$B$253,MATCH($C372,Inventory!$A$4:$A$253,0))&amp;" "&amp;INDEX(Inventory!$C$4:$C$253,MATCH($C372,Inventory!$A$4:$A$253,0)),"SKU not in Inventory"))</f>
        <v/>
      </c>
      <c r="E372" s="42" t="n"/>
      <c r="F372" s="41" t="n"/>
      <c r="G372" s="41" t="n"/>
      <c r="H372" s="47">
        <f>IF($C372="","",IFERROR(INDEX(Inventory!$H$4:$H$253,MATCH($C372,Inventory!$A$4:$A$253,0)),0))</f>
        <v/>
      </c>
      <c r="I372" s="40" t="n"/>
      <c r="J372" s="44">
        <f>IF($C372="","",MAX(0,$E372*$F372-$G372))</f>
        <v/>
      </c>
      <c r="K372" s="44">
        <f>IF(OR($C372="",$I372="No"),0,ROUND($J372*IFERROR(INDEX(Shows!$F$4:$F$23,MATCH($B372,Shows!$A$4:$A$23,0)),0),2))</f>
        <v/>
      </c>
      <c r="L372" s="44">
        <f>IF($C372="","",$E372*$H372)</f>
        <v/>
      </c>
      <c r="M372" s="44">
        <f>IF($C372="","",$J372-$L372-$P372)</f>
        <v/>
      </c>
      <c r="N372" s="40" t="n"/>
      <c r="O372" s="40" t="n"/>
      <c r="P372" s="44">
        <f>IF(OR($C372="",$N372&lt;&gt;"Card"),0,ROUND(($J372+$K372)*IFERROR(INDEX(Shows!$G$4:$G$23,MATCH($B372,Shows!$A$4:$A$23,0)),0)+IFERROR(INDEX(Shows!$H$4:$H$23,MATCH($B372,Shows!$A$4:$A$23,0)),0),2))</f>
        <v/>
      </c>
      <c r="Q372" s="44">
        <f>IF($C372="","",$J372+$K372-$P372)</f>
        <v/>
      </c>
      <c r="R372" s="40" t="n"/>
      <c r="S372" s="40" t="n"/>
      <c r="T372" s="40" t="n"/>
    </row>
    <row r="373">
      <c r="A373" s="48" t="n"/>
      <c r="B373" s="34" t="n"/>
      <c r="C373" s="34" t="n"/>
      <c r="D373" s="15">
        <f>IF($C373="","",IFERROR(INDEX(Inventory!$B$4:$B$253,MATCH($C373,Inventory!$A$4:$A$253,0))&amp;" "&amp;INDEX(Inventory!$C$4:$C$253,MATCH($C373,Inventory!$A$4:$A$253,0)),"SKU not in Inventory"))</f>
        <v/>
      </c>
      <c r="E373" s="36" t="n"/>
      <c r="F373" s="35" t="n"/>
      <c r="G373" s="35" t="n"/>
      <c r="H373" s="49">
        <f>IF($C373="","",IFERROR(INDEX(Inventory!$H$4:$H$253,MATCH($C373,Inventory!$A$4:$A$253,0)),0))</f>
        <v/>
      </c>
      <c r="I373" s="34" t="n"/>
      <c r="J373" s="38">
        <f>IF($C373="","",MAX(0,$E373*$F373-$G373))</f>
        <v/>
      </c>
      <c r="K373" s="38">
        <f>IF(OR($C373="",$I373="No"),0,ROUND($J373*IFERROR(INDEX(Shows!$F$4:$F$23,MATCH($B373,Shows!$A$4:$A$23,0)),0),2))</f>
        <v/>
      </c>
      <c r="L373" s="38">
        <f>IF($C373="","",$E373*$H373)</f>
        <v/>
      </c>
      <c r="M373" s="38">
        <f>IF($C373="","",$J373-$L373-$P373)</f>
        <v/>
      </c>
      <c r="N373" s="34" t="n"/>
      <c r="O373" s="34" t="n"/>
      <c r="P373" s="38">
        <f>IF(OR($C373="",$N373&lt;&gt;"Card"),0,ROUND(($J373+$K373)*IFERROR(INDEX(Shows!$G$4:$G$23,MATCH($B373,Shows!$A$4:$A$23,0)),0)+IFERROR(INDEX(Shows!$H$4:$H$23,MATCH($B373,Shows!$A$4:$A$23,0)),0),2))</f>
        <v/>
      </c>
      <c r="Q373" s="38">
        <f>IF($C373="","",$J373+$K373-$P373)</f>
        <v/>
      </c>
      <c r="R373" s="34" t="n"/>
      <c r="S373" s="34" t="n"/>
      <c r="T373" s="34" t="n"/>
    </row>
    <row r="374">
      <c r="A374" s="46" t="n"/>
      <c r="B374" s="40" t="n"/>
      <c r="C374" s="40" t="n"/>
      <c r="D374" s="11">
        <f>IF($C374="","",IFERROR(INDEX(Inventory!$B$4:$B$253,MATCH($C374,Inventory!$A$4:$A$253,0))&amp;" "&amp;INDEX(Inventory!$C$4:$C$253,MATCH($C374,Inventory!$A$4:$A$253,0)),"SKU not in Inventory"))</f>
        <v/>
      </c>
      <c r="E374" s="42" t="n"/>
      <c r="F374" s="41" t="n"/>
      <c r="G374" s="41" t="n"/>
      <c r="H374" s="47">
        <f>IF($C374="","",IFERROR(INDEX(Inventory!$H$4:$H$253,MATCH($C374,Inventory!$A$4:$A$253,0)),0))</f>
        <v/>
      </c>
      <c r="I374" s="40" t="n"/>
      <c r="J374" s="44">
        <f>IF($C374="","",MAX(0,$E374*$F374-$G374))</f>
        <v/>
      </c>
      <c r="K374" s="44">
        <f>IF(OR($C374="",$I374="No"),0,ROUND($J374*IFERROR(INDEX(Shows!$F$4:$F$23,MATCH($B374,Shows!$A$4:$A$23,0)),0),2))</f>
        <v/>
      </c>
      <c r="L374" s="44">
        <f>IF($C374="","",$E374*$H374)</f>
        <v/>
      </c>
      <c r="M374" s="44">
        <f>IF($C374="","",$J374-$L374-$P374)</f>
        <v/>
      </c>
      <c r="N374" s="40" t="n"/>
      <c r="O374" s="40" t="n"/>
      <c r="P374" s="44">
        <f>IF(OR($C374="",$N374&lt;&gt;"Card"),0,ROUND(($J374+$K374)*IFERROR(INDEX(Shows!$G$4:$G$23,MATCH($B374,Shows!$A$4:$A$23,0)),0)+IFERROR(INDEX(Shows!$H$4:$H$23,MATCH($B374,Shows!$A$4:$A$23,0)),0),2))</f>
        <v/>
      </c>
      <c r="Q374" s="44">
        <f>IF($C374="","",$J374+$K374-$P374)</f>
        <v/>
      </c>
      <c r="R374" s="40" t="n"/>
      <c r="S374" s="40" t="n"/>
      <c r="T374" s="40" t="n"/>
    </row>
    <row r="375">
      <c r="A375" s="48" t="n"/>
      <c r="B375" s="34" t="n"/>
      <c r="C375" s="34" t="n"/>
      <c r="D375" s="15">
        <f>IF($C375="","",IFERROR(INDEX(Inventory!$B$4:$B$253,MATCH($C375,Inventory!$A$4:$A$253,0))&amp;" "&amp;INDEX(Inventory!$C$4:$C$253,MATCH($C375,Inventory!$A$4:$A$253,0)),"SKU not in Inventory"))</f>
        <v/>
      </c>
      <c r="E375" s="36" t="n"/>
      <c r="F375" s="35" t="n"/>
      <c r="G375" s="35" t="n"/>
      <c r="H375" s="49">
        <f>IF($C375="","",IFERROR(INDEX(Inventory!$H$4:$H$253,MATCH($C375,Inventory!$A$4:$A$253,0)),0))</f>
        <v/>
      </c>
      <c r="I375" s="34" t="n"/>
      <c r="J375" s="38">
        <f>IF($C375="","",MAX(0,$E375*$F375-$G375))</f>
        <v/>
      </c>
      <c r="K375" s="38">
        <f>IF(OR($C375="",$I375="No"),0,ROUND($J375*IFERROR(INDEX(Shows!$F$4:$F$23,MATCH($B375,Shows!$A$4:$A$23,0)),0),2))</f>
        <v/>
      </c>
      <c r="L375" s="38">
        <f>IF($C375="","",$E375*$H375)</f>
        <v/>
      </c>
      <c r="M375" s="38">
        <f>IF($C375="","",$J375-$L375-$P375)</f>
        <v/>
      </c>
      <c r="N375" s="34" t="n"/>
      <c r="O375" s="34" t="n"/>
      <c r="P375" s="38">
        <f>IF(OR($C375="",$N375&lt;&gt;"Card"),0,ROUND(($J375+$K375)*IFERROR(INDEX(Shows!$G$4:$G$23,MATCH($B375,Shows!$A$4:$A$23,0)),0)+IFERROR(INDEX(Shows!$H$4:$H$23,MATCH($B375,Shows!$A$4:$A$23,0)),0),2))</f>
        <v/>
      </c>
      <c r="Q375" s="38">
        <f>IF($C375="","",$J375+$K375-$P375)</f>
        <v/>
      </c>
      <c r="R375" s="34" t="n"/>
      <c r="S375" s="34" t="n"/>
      <c r="T375" s="34" t="n"/>
    </row>
    <row r="376">
      <c r="A376" s="46" t="n"/>
      <c r="B376" s="40" t="n"/>
      <c r="C376" s="40" t="n"/>
      <c r="D376" s="11">
        <f>IF($C376="","",IFERROR(INDEX(Inventory!$B$4:$B$253,MATCH($C376,Inventory!$A$4:$A$253,0))&amp;" "&amp;INDEX(Inventory!$C$4:$C$253,MATCH($C376,Inventory!$A$4:$A$253,0)),"SKU not in Inventory"))</f>
        <v/>
      </c>
      <c r="E376" s="42" t="n"/>
      <c r="F376" s="41" t="n"/>
      <c r="G376" s="41" t="n"/>
      <c r="H376" s="47">
        <f>IF($C376="","",IFERROR(INDEX(Inventory!$H$4:$H$253,MATCH($C376,Inventory!$A$4:$A$253,0)),0))</f>
        <v/>
      </c>
      <c r="I376" s="40" t="n"/>
      <c r="J376" s="44">
        <f>IF($C376="","",MAX(0,$E376*$F376-$G376))</f>
        <v/>
      </c>
      <c r="K376" s="44">
        <f>IF(OR($C376="",$I376="No"),0,ROUND($J376*IFERROR(INDEX(Shows!$F$4:$F$23,MATCH($B376,Shows!$A$4:$A$23,0)),0),2))</f>
        <v/>
      </c>
      <c r="L376" s="44">
        <f>IF($C376="","",$E376*$H376)</f>
        <v/>
      </c>
      <c r="M376" s="44">
        <f>IF($C376="","",$J376-$L376-$P376)</f>
        <v/>
      </c>
      <c r="N376" s="40" t="n"/>
      <c r="O376" s="40" t="n"/>
      <c r="P376" s="44">
        <f>IF(OR($C376="",$N376&lt;&gt;"Card"),0,ROUND(($J376+$K376)*IFERROR(INDEX(Shows!$G$4:$G$23,MATCH($B376,Shows!$A$4:$A$23,0)),0)+IFERROR(INDEX(Shows!$H$4:$H$23,MATCH($B376,Shows!$A$4:$A$23,0)),0),2))</f>
        <v/>
      </c>
      <c r="Q376" s="44">
        <f>IF($C376="","",$J376+$K376-$P376)</f>
        <v/>
      </c>
      <c r="R376" s="40" t="n"/>
      <c r="S376" s="40" t="n"/>
      <c r="T376" s="40" t="n"/>
    </row>
    <row r="377">
      <c r="A377" s="48" t="n"/>
      <c r="B377" s="34" t="n"/>
      <c r="C377" s="34" t="n"/>
      <c r="D377" s="15">
        <f>IF($C377="","",IFERROR(INDEX(Inventory!$B$4:$B$253,MATCH($C377,Inventory!$A$4:$A$253,0))&amp;" "&amp;INDEX(Inventory!$C$4:$C$253,MATCH($C377,Inventory!$A$4:$A$253,0)),"SKU not in Inventory"))</f>
        <v/>
      </c>
      <c r="E377" s="36" t="n"/>
      <c r="F377" s="35" t="n"/>
      <c r="G377" s="35" t="n"/>
      <c r="H377" s="49">
        <f>IF($C377="","",IFERROR(INDEX(Inventory!$H$4:$H$253,MATCH($C377,Inventory!$A$4:$A$253,0)),0))</f>
        <v/>
      </c>
      <c r="I377" s="34" t="n"/>
      <c r="J377" s="38">
        <f>IF($C377="","",MAX(0,$E377*$F377-$G377))</f>
        <v/>
      </c>
      <c r="K377" s="38">
        <f>IF(OR($C377="",$I377="No"),0,ROUND($J377*IFERROR(INDEX(Shows!$F$4:$F$23,MATCH($B377,Shows!$A$4:$A$23,0)),0),2))</f>
        <v/>
      </c>
      <c r="L377" s="38">
        <f>IF($C377="","",$E377*$H377)</f>
        <v/>
      </c>
      <c r="M377" s="38">
        <f>IF($C377="","",$J377-$L377-$P377)</f>
        <v/>
      </c>
      <c r="N377" s="34" t="n"/>
      <c r="O377" s="34" t="n"/>
      <c r="P377" s="38">
        <f>IF(OR($C377="",$N377&lt;&gt;"Card"),0,ROUND(($J377+$K377)*IFERROR(INDEX(Shows!$G$4:$G$23,MATCH($B377,Shows!$A$4:$A$23,0)),0)+IFERROR(INDEX(Shows!$H$4:$H$23,MATCH($B377,Shows!$A$4:$A$23,0)),0),2))</f>
        <v/>
      </c>
      <c r="Q377" s="38">
        <f>IF($C377="","",$J377+$K377-$P377)</f>
        <v/>
      </c>
      <c r="R377" s="34" t="n"/>
      <c r="S377" s="34" t="n"/>
      <c r="T377" s="34" t="n"/>
    </row>
    <row r="378">
      <c r="A378" s="46" t="n"/>
      <c r="B378" s="40" t="n"/>
      <c r="C378" s="40" t="n"/>
      <c r="D378" s="11">
        <f>IF($C378="","",IFERROR(INDEX(Inventory!$B$4:$B$253,MATCH($C378,Inventory!$A$4:$A$253,0))&amp;" "&amp;INDEX(Inventory!$C$4:$C$253,MATCH($C378,Inventory!$A$4:$A$253,0)),"SKU not in Inventory"))</f>
        <v/>
      </c>
      <c r="E378" s="42" t="n"/>
      <c r="F378" s="41" t="n"/>
      <c r="G378" s="41" t="n"/>
      <c r="H378" s="47">
        <f>IF($C378="","",IFERROR(INDEX(Inventory!$H$4:$H$253,MATCH($C378,Inventory!$A$4:$A$253,0)),0))</f>
        <v/>
      </c>
      <c r="I378" s="40" t="n"/>
      <c r="J378" s="44">
        <f>IF($C378="","",MAX(0,$E378*$F378-$G378))</f>
        <v/>
      </c>
      <c r="K378" s="44">
        <f>IF(OR($C378="",$I378="No"),0,ROUND($J378*IFERROR(INDEX(Shows!$F$4:$F$23,MATCH($B378,Shows!$A$4:$A$23,0)),0),2))</f>
        <v/>
      </c>
      <c r="L378" s="44">
        <f>IF($C378="","",$E378*$H378)</f>
        <v/>
      </c>
      <c r="M378" s="44">
        <f>IF($C378="","",$J378-$L378-$P378)</f>
        <v/>
      </c>
      <c r="N378" s="40" t="n"/>
      <c r="O378" s="40" t="n"/>
      <c r="P378" s="44">
        <f>IF(OR($C378="",$N378&lt;&gt;"Card"),0,ROUND(($J378+$K378)*IFERROR(INDEX(Shows!$G$4:$G$23,MATCH($B378,Shows!$A$4:$A$23,0)),0)+IFERROR(INDEX(Shows!$H$4:$H$23,MATCH($B378,Shows!$A$4:$A$23,0)),0),2))</f>
        <v/>
      </c>
      <c r="Q378" s="44">
        <f>IF($C378="","",$J378+$K378-$P378)</f>
        <v/>
      </c>
      <c r="R378" s="40" t="n"/>
      <c r="S378" s="40" t="n"/>
      <c r="T378" s="40" t="n"/>
    </row>
    <row r="379">
      <c r="A379" s="48" t="n"/>
      <c r="B379" s="34" t="n"/>
      <c r="C379" s="34" t="n"/>
      <c r="D379" s="15">
        <f>IF($C379="","",IFERROR(INDEX(Inventory!$B$4:$B$253,MATCH($C379,Inventory!$A$4:$A$253,0))&amp;" "&amp;INDEX(Inventory!$C$4:$C$253,MATCH($C379,Inventory!$A$4:$A$253,0)),"SKU not in Inventory"))</f>
        <v/>
      </c>
      <c r="E379" s="36" t="n"/>
      <c r="F379" s="35" t="n"/>
      <c r="G379" s="35" t="n"/>
      <c r="H379" s="49">
        <f>IF($C379="","",IFERROR(INDEX(Inventory!$H$4:$H$253,MATCH($C379,Inventory!$A$4:$A$253,0)),0))</f>
        <v/>
      </c>
      <c r="I379" s="34" t="n"/>
      <c r="J379" s="38">
        <f>IF($C379="","",MAX(0,$E379*$F379-$G379))</f>
        <v/>
      </c>
      <c r="K379" s="38">
        <f>IF(OR($C379="",$I379="No"),0,ROUND($J379*IFERROR(INDEX(Shows!$F$4:$F$23,MATCH($B379,Shows!$A$4:$A$23,0)),0),2))</f>
        <v/>
      </c>
      <c r="L379" s="38">
        <f>IF($C379="","",$E379*$H379)</f>
        <v/>
      </c>
      <c r="M379" s="38">
        <f>IF($C379="","",$J379-$L379-$P379)</f>
        <v/>
      </c>
      <c r="N379" s="34" t="n"/>
      <c r="O379" s="34" t="n"/>
      <c r="P379" s="38">
        <f>IF(OR($C379="",$N379&lt;&gt;"Card"),0,ROUND(($J379+$K379)*IFERROR(INDEX(Shows!$G$4:$G$23,MATCH($B379,Shows!$A$4:$A$23,0)),0)+IFERROR(INDEX(Shows!$H$4:$H$23,MATCH($B379,Shows!$A$4:$A$23,0)),0),2))</f>
        <v/>
      </c>
      <c r="Q379" s="38">
        <f>IF($C379="","",$J379+$K379-$P379)</f>
        <v/>
      </c>
      <c r="R379" s="34" t="n"/>
      <c r="S379" s="34" t="n"/>
      <c r="T379" s="34" t="n"/>
    </row>
    <row r="380">
      <c r="A380" s="46" t="n"/>
      <c r="B380" s="40" t="n"/>
      <c r="C380" s="40" t="n"/>
      <c r="D380" s="11">
        <f>IF($C380="","",IFERROR(INDEX(Inventory!$B$4:$B$253,MATCH($C380,Inventory!$A$4:$A$253,0))&amp;" "&amp;INDEX(Inventory!$C$4:$C$253,MATCH($C380,Inventory!$A$4:$A$253,0)),"SKU not in Inventory"))</f>
        <v/>
      </c>
      <c r="E380" s="42" t="n"/>
      <c r="F380" s="41" t="n"/>
      <c r="G380" s="41" t="n"/>
      <c r="H380" s="47">
        <f>IF($C380="","",IFERROR(INDEX(Inventory!$H$4:$H$253,MATCH($C380,Inventory!$A$4:$A$253,0)),0))</f>
        <v/>
      </c>
      <c r="I380" s="40" t="n"/>
      <c r="J380" s="44">
        <f>IF($C380="","",MAX(0,$E380*$F380-$G380))</f>
        <v/>
      </c>
      <c r="K380" s="44">
        <f>IF(OR($C380="",$I380="No"),0,ROUND($J380*IFERROR(INDEX(Shows!$F$4:$F$23,MATCH($B380,Shows!$A$4:$A$23,0)),0),2))</f>
        <v/>
      </c>
      <c r="L380" s="44">
        <f>IF($C380="","",$E380*$H380)</f>
        <v/>
      </c>
      <c r="M380" s="44">
        <f>IF($C380="","",$J380-$L380-$P380)</f>
        <v/>
      </c>
      <c r="N380" s="40" t="n"/>
      <c r="O380" s="40" t="n"/>
      <c r="P380" s="44">
        <f>IF(OR($C380="",$N380&lt;&gt;"Card"),0,ROUND(($J380+$K380)*IFERROR(INDEX(Shows!$G$4:$G$23,MATCH($B380,Shows!$A$4:$A$23,0)),0)+IFERROR(INDEX(Shows!$H$4:$H$23,MATCH($B380,Shows!$A$4:$A$23,0)),0),2))</f>
        <v/>
      </c>
      <c r="Q380" s="44">
        <f>IF($C380="","",$J380+$K380-$P380)</f>
        <v/>
      </c>
      <c r="R380" s="40" t="n"/>
      <c r="S380" s="40" t="n"/>
      <c r="T380" s="40" t="n"/>
    </row>
    <row r="381">
      <c r="A381" s="48" t="n"/>
      <c r="B381" s="34" t="n"/>
      <c r="C381" s="34" t="n"/>
      <c r="D381" s="15">
        <f>IF($C381="","",IFERROR(INDEX(Inventory!$B$4:$B$253,MATCH($C381,Inventory!$A$4:$A$253,0))&amp;" "&amp;INDEX(Inventory!$C$4:$C$253,MATCH($C381,Inventory!$A$4:$A$253,0)),"SKU not in Inventory"))</f>
        <v/>
      </c>
      <c r="E381" s="36" t="n"/>
      <c r="F381" s="35" t="n"/>
      <c r="G381" s="35" t="n"/>
      <c r="H381" s="49">
        <f>IF($C381="","",IFERROR(INDEX(Inventory!$H$4:$H$253,MATCH($C381,Inventory!$A$4:$A$253,0)),0))</f>
        <v/>
      </c>
      <c r="I381" s="34" t="n"/>
      <c r="J381" s="38">
        <f>IF($C381="","",MAX(0,$E381*$F381-$G381))</f>
        <v/>
      </c>
      <c r="K381" s="38">
        <f>IF(OR($C381="",$I381="No"),0,ROUND($J381*IFERROR(INDEX(Shows!$F$4:$F$23,MATCH($B381,Shows!$A$4:$A$23,0)),0),2))</f>
        <v/>
      </c>
      <c r="L381" s="38">
        <f>IF($C381="","",$E381*$H381)</f>
        <v/>
      </c>
      <c r="M381" s="38">
        <f>IF($C381="","",$J381-$L381-$P381)</f>
        <v/>
      </c>
      <c r="N381" s="34" t="n"/>
      <c r="O381" s="34" t="n"/>
      <c r="P381" s="38">
        <f>IF(OR($C381="",$N381&lt;&gt;"Card"),0,ROUND(($J381+$K381)*IFERROR(INDEX(Shows!$G$4:$G$23,MATCH($B381,Shows!$A$4:$A$23,0)),0)+IFERROR(INDEX(Shows!$H$4:$H$23,MATCH($B381,Shows!$A$4:$A$23,0)),0),2))</f>
        <v/>
      </c>
      <c r="Q381" s="38">
        <f>IF($C381="","",$J381+$K381-$P381)</f>
        <v/>
      </c>
      <c r="R381" s="34" t="n"/>
      <c r="S381" s="34" t="n"/>
      <c r="T381" s="34" t="n"/>
    </row>
    <row r="382">
      <c r="A382" s="46" t="n"/>
      <c r="B382" s="40" t="n"/>
      <c r="C382" s="40" t="n"/>
      <c r="D382" s="11">
        <f>IF($C382="","",IFERROR(INDEX(Inventory!$B$4:$B$253,MATCH($C382,Inventory!$A$4:$A$253,0))&amp;" "&amp;INDEX(Inventory!$C$4:$C$253,MATCH($C382,Inventory!$A$4:$A$253,0)),"SKU not in Inventory"))</f>
        <v/>
      </c>
      <c r="E382" s="42" t="n"/>
      <c r="F382" s="41" t="n"/>
      <c r="G382" s="41" t="n"/>
      <c r="H382" s="47">
        <f>IF($C382="","",IFERROR(INDEX(Inventory!$H$4:$H$253,MATCH($C382,Inventory!$A$4:$A$253,0)),0))</f>
        <v/>
      </c>
      <c r="I382" s="40" t="n"/>
      <c r="J382" s="44">
        <f>IF($C382="","",MAX(0,$E382*$F382-$G382))</f>
        <v/>
      </c>
      <c r="K382" s="44">
        <f>IF(OR($C382="",$I382="No"),0,ROUND($J382*IFERROR(INDEX(Shows!$F$4:$F$23,MATCH($B382,Shows!$A$4:$A$23,0)),0),2))</f>
        <v/>
      </c>
      <c r="L382" s="44">
        <f>IF($C382="","",$E382*$H382)</f>
        <v/>
      </c>
      <c r="M382" s="44">
        <f>IF($C382="","",$J382-$L382-$P382)</f>
        <v/>
      </c>
      <c r="N382" s="40" t="n"/>
      <c r="O382" s="40" t="n"/>
      <c r="P382" s="44">
        <f>IF(OR($C382="",$N382&lt;&gt;"Card"),0,ROUND(($J382+$K382)*IFERROR(INDEX(Shows!$G$4:$G$23,MATCH($B382,Shows!$A$4:$A$23,0)),0)+IFERROR(INDEX(Shows!$H$4:$H$23,MATCH($B382,Shows!$A$4:$A$23,0)),0),2))</f>
        <v/>
      </c>
      <c r="Q382" s="44">
        <f>IF($C382="","",$J382+$K382-$P382)</f>
        <v/>
      </c>
      <c r="R382" s="40" t="n"/>
      <c r="S382" s="40" t="n"/>
      <c r="T382" s="40" t="n"/>
    </row>
    <row r="383">
      <c r="A383" s="48" t="n"/>
      <c r="B383" s="34" t="n"/>
      <c r="C383" s="34" t="n"/>
      <c r="D383" s="15">
        <f>IF($C383="","",IFERROR(INDEX(Inventory!$B$4:$B$253,MATCH($C383,Inventory!$A$4:$A$253,0))&amp;" "&amp;INDEX(Inventory!$C$4:$C$253,MATCH($C383,Inventory!$A$4:$A$253,0)),"SKU not in Inventory"))</f>
        <v/>
      </c>
      <c r="E383" s="36" t="n"/>
      <c r="F383" s="35" t="n"/>
      <c r="G383" s="35" t="n"/>
      <c r="H383" s="49">
        <f>IF($C383="","",IFERROR(INDEX(Inventory!$H$4:$H$253,MATCH($C383,Inventory!$A$4:$A$253,0)),0))</f>
        <v/>
      </c>
      <c r="I383" s="34" t="n"/>
      <c r="J383" s="38">
        <f>IF($C383="","",MAX(0,$E383*$F383-$G383))</f>
        <v/>
      </c>
      <c r="K383" s="38">
        <f>IF(OR($C383="",$I383="No"),0,ROUND($J383*IFERROR(INDEX(Shows!$F$4:$F$23,MATCH($B383,Shows!$A$4:$A$23,0)),0),2))</f>
        <v/>
      </c>
      <c r="L383" s="38">
        <f>IF($C383="","",$E383*$H383)</f>
        <v/>
      </c>
      <c r="M383" s="38">
        <f>IF($C383="","",$J383-$L383-$P383)</f>
        <v/>
      </c>
      <c r="N383" s="34" t="n"/>
      <c r="O383" s="34" t="n"/>
      <c r="P383" s="38">
        <f>IF(OR($C383="",$N383&lt;&gt;"Card"),0,ROUND(($J383+$K383)*IFERROR(INDEX(Shows!$G$4:$G$23,MATCH($B383,Shows!$A$4:$A$23,0)),0)+IFERROR(INDEX(Shows!$H$4:$H$23,MATCH($B383,Shows!$A$4:$A$23,0)),0),2))</f>
        <v/>
      </c>
      <c r="Q383" s="38">
        <f>IF($C383="","",$J383+$K383-$P383)</f>
        <v/>
      </c>
      <c r="R383" s="34" t="n"/>
      <c r="S383" s="34" t="n"/>
      <c r="T383" s="34" t="n"/>
    </row>
    <row r="384">
      <c r="A384" s="46" t="n"/>
      <c r="B384" s="40" t="n"/>
      <c r="C384" s="40" t="n"/>
      <c r="D384" s="11">
        <f>IF($C384="","",IFERROR(INDEX(Inventory!$B$4:$B$253,MATCH($C384,Inventory!$A$4:$A$253,0))&amp;" "&amp;INDEX(Inventory!$C$4:$C$253,MATCH($C384,Inventory!$A$4:$A$253,0)),"SKU not in Inventory"))</f>
        <v/>
      </c>
      <c r="E384" s="42" t="n"/>
      <c r="F384" s="41" t="n"/>
      <c r="G384" s="41" t="n"/>
      <c r="H384" s="47">
        <f>IF($C384="","",IFERROR(INDEX(Inventory!$H$4:$H$253,MATCH($C384,Inventory!$A$4:$A$253,0)),0))</f>
        <v/>
      </c>
      <c r="I384" s="40" t="n"/>
      <c r="J384" s="44">
        <f>IF($C384="","",MAX(0,$E384*$F384-$G384))</f>
        <v/>
      </c>
      <c r="K384" s="44">
        <f>IF(OR($C384="",$I384="No"),0,ROUND($J384*IFERROR(INDEX(Shows!$F$4:$F$23,MATCH($B384,Shows!$A$4:$A$23,0)),0),2))</f>
        <v/>
      </c>
      <c r="L384" s="44">
        <f>IF($C384="","",$E384*$H384)</f>
        <v/>
      </c>
      <c r="M384" s="44">
        <f>IF($C384="","",$J384-$L384-$P384)</f>
        <v/>
      </c>
      <c r="N384" s="40" t="n"/>
      <c r="O384" s="40" t="n"/>
      <c r="P384" s="44">
        <f>IF(OR($C384="",$N384&lt;&gt;"Card"),0,ROUND(($J384+$K384)*IFERROR(INDEX(Shows!$G$4:$G$23,MATCH($B384,Shows!$A$4:$A$23,0)),0)+IFERROR(INDEX(Shows!$H$4:$H$23,MATCH($B384,Shows!$A$4:$A$23,0)),0),2))</f>
        <v/>
      </c>
      <c r="Q384" s="44">
        <f>IF($C384="","",$J384+$K384-$P384)</f>
        <v/>
      </c>
      <c r="R384" s="40" t="n"/>
      <c r="S384" s="40" t="n"/>
      <c r="T384" s="40" t="n"/>
    </row>
    <row r="385">
      <c r="A385" s="48" t="n"/>
      <c r="B385" s="34" t="n"/>
      <c r="C385" s="34" t="n"/>
      <c r="D385" s="15">
        <f>IF($C385="","",IFERROR(INDEX(Inventory!$B$4:$B$253,MATCH($C385,Inventory!$A$4:$A$253,0))&amp;" "&amp;INDEX(Inventory!$C$4:$C$253,MATCH($C385,Inventory!$A$4:$A$253,0)),"SKU not in Inventory"))</f>
        <v/>
      </c>
      <c r="E385" s="36" t="n"/>
      <c r="F385" s="35" t="n"/>
      <c r="G385" s="35" t="n"/>
      <c r="H385" s="49">
        <f>IF($C385="","",IFERROR(INDEX(Inventory!$H$4:$H$253,MATCH($C385,Inventory!$A$4:$A$253,0)),0))</f>
        <v/>
      </c>
      <c r="I385" s="34" t="n"/>
      <c r="J385" s="38">
        <f>IF($C385="","",MAX(0,$E385*$F385-$G385))</f>
        <v/>
      </c>
      <c r="K385" s="38">
        <f>IF(OR($C385="",$I385="No"),0,ROUND($J385*IFERROR(INDEX(Shows!$F$4:$F$23,MATCH($B385,Shows!$A$4:$A$23,0)),0),2))</f>
        <v/>
      </c>
      <c r="L385" s="38">
        <f>IF($C385="","",$E385*$H385)</f>
        <v/>
      </c>
      <c r="M385" s="38">
        <f>IF($C385="","",$J385-$L385-$P385)</f>
        <v/>
      </c>
      <c r="N385" s="34" t="n"/>
      <c r="O385" s="34" t="n"/>
      <c r="P385" s="38">
        <f>IF(OR($C385="",$N385&lt;&gt;"Card"),0,ROUND(($J385+$K385)*IFERROR(INDEX(Shows!$G$4:$G$23,MATCH($B385,Shows!$A$4:$A$23,0)),0)+IFERROR(INDEX(Shows!$H$4:$H$23,MATCH($B385,Shows!$A$4:$A$23,0)),0),2))</f>
        <v/>
      </c>
      <c r="Q385" s="38">
        <f>IF($C385="","",$J385+$K385-$P385)</f>
        <v/>
      </c>
      <c r="R385" s="34" t="n"/>
      <c r="S385" s="34" t="n"/>
      <c r="T385" s="34" t="n"/>
    </row>
    <row r="386">
      <c r="A386" s="46" t="n"/>
      <c r="B386" s="40" t="n"/>
      <c r="C386" s="40" t="n"/>
      <c r="D386" s="11">
        <f>IF($C386="","",IFERROR(INDEX(Inventory!$B$4:$B$253,MATCH($C386,Inventory!$A$4:$A$253,0))&amp;" "&amp;INDEX(Inventory!$C$4:$C$253,MATCH($C386,Inventory!$A$4:$A$253,0)),"SKU not in Inventory"))</f>
        <v/>
      </c>
      <c r="E386" s="42" t="n"/>
      <c r="F386" s="41" t="n"/>
      <c r="G386" s="41" t="n"/>
      <c r="H386" s="47">
        <f>IF($C386="","",IFERROR(INDEX(Inventory!$H$4:$H$253,MATCH($C386,Inventory!$A$4:$A$253,0)),0))</f>
        <v/>
      </c>
      <c r="I386" s="40" t="n"/>
      <c r="J386" s="44">
        <f>IF($C386="","",MAX(0,$E386*$F386-$G386))</f>
        <v/>
      </c>
      <c r="K386" s="44">
        <f>IF(OR($C386="",$I386="No"),0,ROUND($J386*IFERROR(INDEX(Shows!$F$4:$F$23,MATCH($B386,Shows!$A$4:$A$23,0)),0),2))</f>
        <v/>
      </c>
      <c r="L386" s="44">
        <f>IF($C386="","",$E386*$H386)</f>
        <v/>
      </c>
      <c r="M386" s="44">
        <f>IF($C386="","",$J386-$L386-$P386)</f>
        <v/>
      </c>
      <c r="N386" s="40" t="n"/>
      <c r="O386" s="40" t="n"/>
      <c r="P386" s="44">
        <f>IF(OR($C386="",$N386&lt;&gt;"Card"),0,ROUND(($J386+$K386)*IFERROR(INDEX(Shows!$G$4:$G$23,MATCH($B386,Shows!$A$4:$A$23,0)),0)+IFERROR(INDEX(Shows!$H$4:$H$23,MATCH($B386,Shows!$A$4:$A$23,0)),0),2))</f>
        <v/>
      </c>
      <c r="Q386" s="44">
        <f>IF($C386="","",$J386+$K386-$P386)</f>
        <v/>
      </c>
      <c r="R386" s="40" t="n"/>
      <c r="S386" s="40" t="n"/>
      <c r="T386" s="40" t="n"/>
    </row>
    <row r="387">
      <c r="A387" s="48" t="n"/>
      <c r="B387" s="34" t="n"/>
      <c r="C387" s="34" t="n"/>
      <c r="D387" s="15">
        <f>IF($C387="","",IFERROR(INDEX(Inventory!$B$4:$B$253,MATCH($C387,Inventory!$A$4:$A$253,0))&amp;" "&amp;INDEX(Inventory!$C$4:$C$253,MATCH($C387,Inventory!$A$4:$A$253,0)),"SKU not in Inventory"))</f>
        <v/>
      </c>
      <c r="E387" s="36" t="n"/>
      <c r="F387" s="35" t="n"/>
      <c r="G387" s="35" t="n"/>
      <c r="H387" s="49">
        <f>IF($C387="","",IFERROR(INDEX(Inventory!$H$4:$H$253,MATCH($C387,Inventory!$A$4:$A$253,0)),0))</f>
        <v/>
      </c>
      <c r="I387" s="34" t="n"/>
      <c r="J387" s="38">
        <f>IF($C387="","",MAX(0,$E387*$F387-$G387))</f>
        <v/>
      </c>
      <c r="K387" s="38">
        <f>IF(OR($C387="",$I387="No"),0,ROUND($J387*IFERROR(INDEX(Shows!$F$4:$F$23,MATCH($B387,Shows!$A$4:$A$23,0)),0),2))</f>
        <v/>
      </c>
      <c r="L387" s="38">
        <f>IF($C387="","",$E387*$H387)</f>
        <v/>
      </c>
      <c r="M387" s="38">
        <f>IF($C387="","",$J387-$L387-$P387)</f>
        <v/>
      </c>
      <c r="N387" s="34" t="n"/>
      <c r="O387" s="34" t="n"/>
      <c r="P387" s="38">
        <f>IF(OR($C387="",$N387&lt;&gt;"Card"),0,ROUND(($J387+$K387)*IFERROR(INDEX(Shows!$G$4:$G$23,MATCH($B387,Shows!$A$4:$A$23,0)),0)+IFERROR(INDEX(Shows!$H$4:$H$23,MATCH($B387,Shows!$A$4:$A$23,0)),0),2))</f>
        <v/>
      </c>
      <c r="Q387" s="38">
        <f>IF($C387="","",$J387+$K387-$P387)</f>
        <v/>
      </c>
      <c r="R387" s="34" t="n"/>
      <c r="S387" s="34" t="n"/>
      <c r="T387" s="34" t="n"/>
    </row>
    <row r="388">
      <c r="A388" s="46" t="n"/>
      <c r="B388" s="40" t="n"/>
      <c r="C388" s="40" t="n"/>
      <c r="D388" s="11">
        <f>IF($C388="","",IFERROR(INDEX(Inventory!$B$4:$B$253,MATCH($C388,Inventory!$A$4:$A$253,0))&amp;" "&amp;INDEX(Inventory!$C$4:$C$253,MATCH($C388,Inventory!$A$4:$A$253,0)),"SKU not in Inventory"))</f>
        <v/>
      </c>
      <c r="E388" s="42" t="n"/>
      <c r="F388" s="41" t="n"/>
      <c r="G388" s="41" t="n"/>
      <c r="H388" s="47">
        <f>IF($C388="","",IFERROR(INDEX(Inventory!$H$4:$H$253,MATCH($C388,Inventory!$A$4:$A$253,0)),0))</f>
        <v/>
      </c>
      <c r="I388" s="40" t="n"/>
      <c r="J388" s="44">
        <f>IF($C388="","",MAX(0,$E388*$F388-$G388))</f>
        <v/>
      </c>
      <c r="K388" s="44">
        <f>IF(OR($C388="",$I388="No"),0,ROUND($J388*IFERROR(INDEX(Shows!$F$4:$F$23,MATCH($B388,Shows!$A$4:$A$23,0)),0),2))</f>
        <v/>
      </c>
      <c r="L388" s="44">
        <f>IF($C388="","",$E388*$H388)</f>
        <v/>
      </c>
      <c r="M388" s="44">
        <f>IF($C388="","",$J388-$L388-$P388)</f>
        <v/>
      </c>
      <c r="N388" s="40" t="n"/>
      <c r="O388" s="40" t="n"/>
      <c r="P388" s="44">
        <f>IF(OR($C388="",$N388&lt;&gt;"Card"),0,ROUND(($J388+$K388)*IFERROR(INDEX(Shows!$G$4:$G$23,MATCH($B388,Shows!$A$4:$A$23,0)),0)+IFERROR(INDEX(Shows!$H$4:$H$23,MATCH($B388,Shows!$A$4:$A$23,0)),0),2))</f>
        <v/>
      </c>
      <c r="Q388" s="44">
        <f>IF($C388="","",$J388+$K388-$P388)</f>
        <v/>
      </c>
      <c r="R388" s="40" t="n"/>
      <c r="S388" s="40" t="n"/>
      <c r="T388" s="40" t="n"/>
    </row>
    <row r="389">
      <c r="A389" s="48" t="n"/>
      <c r="B389" s="34" t="n"/>
      <c r="C389" s="34" t="n"/>
      <c r="D389" s="15">
        <f>IF($C389="","",IFERROR(INDEX(Inventory!$B$4:$B$253,MATCH($C389,Inventory!$A$4:$A$253,0))&amp;" "&amp;INDEX(Inventory!$C$4:$C$253,MATCH($C389,Inventory!$A$4:$A$253,0)),"SKU not in Inventory"))</f>
        <v/>
      </c>
      <c r="E389" s="36" t="n"/>
      <c r="F389" s="35" t="n"/>
      <c r="G389" s="35" t="n"/>
      <c r="H389" s="49">
        <f>IF($C389="","",IFERROR(INDEX(Inventory!$H$4:$H$253,MATCH($C389,Inventory!$A$4:$A$253,0)),0))</f>
        <v/>
      </c>
      <c r="I389" s="34" t="n"/>
      <c r="J389" s="38">
        <f>IF($C389="","",MAX(0,$E389*$F389-$G389))</f>
        <v/>
      </c>
      <c r="K389" s="38">
        <f>IF(OR($C389="",$I389="No"),0,ROUND($J389*IFERROR(INDEX(Shows!$F$4:$F$23,MATCH($B389,Shows!$A$4:$A$23,0)),0),2))</f>
        <v/>
      </c>
      <c r="L389" s="38">
        <f>IF($C389="","",$E389*$H389)</f>
        <v/>
      </c>
      <c r="M389" s="38">
        <f>IF($C389="","",$J389-$L389-$P389)</f>
        <v/>
      </c>
      <c r="N389" s="34" t="n"/>
      <c r="O389" s="34" t="n"/>
      <c r="P389" s="38">
        <f>IF(OR($C389="",$N389&lt;&gt;"Card"),0,ROUND(($J389+$K389)*IFERROR(INDEX(Shows!$G$4:$G$23,MATCH($B389,Shows!$A$4:$A$23,0)),0)+IFERROR(INDEX(Shows!$H$4:$H$23,MATCH($B389,Shows!$A$4:$A$23,0)),0),2))</f>
        <v/>
      </c>
      <c r="Q389" s="38">
        <f>IF($C389="","",$J389+$K389-$P389)</f>
        <v/>
      </c>
      <c r="R389" s="34" t="n"/>
      <c r="S389" s="34" t="n"/>
      <c r="T389" s="34" t="n"/>
    </row>
    <row r="390">
      <c r="A390" s="46" t="n"/>
      <c r="B390" s="40" t="n"/>
      <c r="C390" s="40" t="n"/>
      <c r="D390" s="11">
        <f>IF($C390="","",IFERROR(INDEX(Inventory!$B$4:$B$253,MATCH($C390,Inventory!$A$4:$A$253,0))&amp;" "&amp;INDEX(Inventory!$C$4:$C$253,MATCH($C390,Inventory!$A$4:$A$253,0)),"SKU not in Inventory"))</f>
        <v/>
      </c>
      <c r="E390" s="42" t="n"/>
      <c r="F390" s="41" t="n"/>
      <c r="G390" s="41" t="n"/>
      <c r="H390" s="47">
        <f>IF($C390="","",IFERROR(INDEX(Inventory!$H$4:$H$253,MATCH($C390,Inventory!$A$4:$A$253,0)),0))</f>
        <v/>
      </c>
      <c r="I390" s="40" t="n"/>
      <c r="J390" s="44">
        <f>IF($C390="","",MAX(0,$E390*$F390-$G390))</f>
        <v/>
      </c>
      <c r="K390" s="44">
        <f>IF(OR($C390="",$I390="No"),0,ROUND($J390*IFERROR(INDEX(Shows!$F$4:$F$23,MATCH($B390,Shows!$A$4:$A$23,0)),0),2))</f>
        <v/>
      </c>
      <c r="L390" s="44">
        <f>IF($C390="","",$E390*$H390)</f>
        <v/>
      </c>
      <c r="M390" s="44">
        <f>IF($C390="","",$J390-$L390-$P390)</f>
        <v/>
      </c>
      <c r="N390" s="40" t="n"/>
      <c r="O390" s="40" t="n"/>
      <c r="P390" s="44">
        <f>IF(OR($C390="",$N390&lt;&gt;"Card"),0,ROUND(($J390+$K390)*IFERROR(INDEX(Shows!$G$4:$G$23,MATCH($B390,Shows!$A$4:$A$23,0)),0)+IFERROR(INDEX(Shows!$H$4:$H$23,MATCH($B390,Shows!$A$4:$A$23,0)),0),2))</f>
        <v/>
      </c>
      <c r="Q390" s="44">
        <f>IF($C390="","",$J390+$K390-$P390)</f>
        <v/>
      </c>
      <c r="R390" s="40" t="n"/>
      <c r="S390" s="40" t="n"/>
      <c r="T390" s="40" t="n"/>
    </row>
    <row r="391">
      <c r="A391" s="48" t="n"/>
      <c r="B391" s="34" t="n"/>
      <c r="C391" s="34" t="n"/>
      <c r="D391" s="15">
        <f>IF($C391="","",IFERROR(INDEX(Inventory!$B$4:$B$253,MATCH($C391,Inventory!$A$4:$A$253,0))&amp;" "&amp;INDEX(Inventory!$C$4:$C$253,MATCH($C391,Inventory!$A$4:$A$253,0)),"SKU not in Inventory"))</f>
        <v/>
      </c>
      <c r="E391" s="36" t="n"/>
      <c r="F391" s="35" t="n"/>
      <c r="G391" s="35" t="n"/>
      <c r="H391" s="49">
        <f>IF($C391="","",IFERROR(INDEX(Inventory!$H$4:$H$253,MATCH($C391,Inventory!$A$4:$A$253,0)),0))</f>
        <v/>
      </c>
      <c r="I391" s="34" t="n"/>
      <c r="J391" s="38">
        <f>IF($C391="","",MAX(0,$E391*$F391-$G391))</f>
        <v/>
      </c>
      <c r="K391" s="38">
        <f>IF(OR($C391="",$I391="No"),0,ROUND($J391*IFERROR(INDEX(Shows!$F$4:$F$23,MATCH($B391,Shows!$A$4:$A$23,0)),0),2))</f>
        <v/>
      </c>
      <c r="L391" s="38">
        <f>IF($C391="","",$E391*$H391)</f>
        <v/>
      </c>
      <c r="M391" s="38">
        <f>IF($C391="","",$J391-$L391-$P391)</f>
        <v/>
      </c>
      <c r="N391" s="34" t="n"/>
      <c r="O391" s="34" t="n"/>
      <c r="P391" s="38">
        <f>IF(OR($C391="",$N391&lt;&gt;"Card"),0,ROUND(($J391+$K391)*IFERROR(INDEX(Shows!$G$4:$G$23,MATCH($B391,Shows!$A$4:$A$23,0)),0)+IFERROR(INDEX(Shows!$H$4:$H$23,MATCH($B391,Shows!$A$4:$A$23,0)),0),2))</f>
        <v/>
      </c>
      <c r="Q391" s="38">
        <f>IF($C391="","",$J391+$K391-$P391)</f>
        <v/>
      </c>
      <c r="R391" s="34" t="n"/>
      <c r="S391" s="34" t="n"/>
      <c r="T391" s="34" t="n"/>
    </row>
    <row r="392">
      <c r="A392" s="46" t="n"/>
      <c r="B392" s="40" t="n"/>
      <c r="C392" s="40" t="n"/>
      <c r="D392" s="11">
        <f>IF($C392="","",IFERROR(INDEX(Inventory!$B$4:$B$253,MATCH($C392,Inventory!$A$4:$A$253,0))&amp;" "&amp;INDEX(Inventory!$C$4:$C$253,MATCH($C392,Inventory!$A$4:$A$253,0)),"SKU not in Inventory"))</f>
        <v/>
      </c>
      <c r="E392" s="42" t="n"/>
      <c r="F392" s="41" t="n"/>
      <c r="G392" s="41" t="n"/>
      <c r="H392" s="47">
        <f>IF($C392="","",IFERROR(INDEX(Inventory!$H$4:$H$253,MATCH($C392,Inventory!$A$4:$A$253,0)),0))</f>
        <v/>
      </c>
      <c r="I392" s="40" t="n"/>
      <c r="J392" s="44">
        <f>IF($C392="","",MAX(0,$E392*$F392-$G392))</f>
        <v/>
      </c>
      <c r="K392" s="44">
        <f>IF(OR($C392="",$I392="No"),0,ROUND($J392*IFERROR(INDEX(Shows!$F$4:$F$23,MATCH($B392,Shows!$A$4:$A$23,0)),0),2))</f>
        <v/>
      </c>
      <c r="L392" s="44">
        <f>IF($C392="","",$E392*$H392)</f>
        <v/>
      </c>
      <c r="M392" s="44">
        <f>IF($C392="","",$J392-$L392-$P392)</f>
        <v/>
      </c>
      <c r="N392" s="40" t="n"/>
      <c r="O392" s="40" t="n"/>
      <c r="P392" s="44">
        <f>IF(OR($C392="",$N392&lt;&gt;"Card"),0,ROUND(($J392+$K392)*IFERROR(INDEX(Shows!$G$4:$G$23,MATCH($B392,Shows!$A$4:$A$23,0)),0)+IFERROR(INDEX(Shows!$H$4:$H$23,MATCH($B392,Shows!$A$4:$A$23,0)),0),2))</f>
        <v/>
      </c>
      <c r="Q392" s="44">
        <f>IF($C392="","",$J392+$K392-$P392)</f>
        <v/>
      </c>
      <c r="R392" s="40" t="n"/>
      <c r="S392" s="40" t="n"/>
      <c r="T392" s="40" t="n"/>
    </row>
    <row r="393">
      <c r="A393" s="48" t="n"/>
      <c r="B393" s="34" t="n"/>
      <c r="C393" s="34" t="n"/>
      <c r="D393" s="15">
        <f>IF($C393="","",IFERROR(INDEX(Inventory!$B$4:$B$253,MATCH($C393,Inventory!$A$4:$A$253,0))&amp;" "&amp;INDEX(Inventory!$C$4:$C$253,MATCH($C393,Inventory!$A$4:$A$253,0)),"SKU not in Inventory"))</f>
        <v/>
      </c>
      <c r="E393" s="36" t="n"/>
      <c r="F393" s="35" t="n"/>
      <c r="G393" s="35" t="n"/>
      <c r="H393" s="49">
        <f>IF($C393="","",IFERROR(INDEX(Inventory!$H$4:$H$253,MATCH($C393,Inventory!$A$4:$A$253,0)),0))</f>
        <v/>
      </c>
      <c r="I393" s="34" t="n"/>
      <c r="J393" s="38">
        <f>IF($C393="","",MAX(0,$E393*$F393-$G393))</f>
        <v/>
      </c>
      <c r="K393" s="38">
        <f>IF(OR($C393="",$I393="No"),0,ROUND($J393*IFERROR(INDEX(Shows!$F$4:$F$23,MATCH($B393,Shows!$A$4:$A$23,0)),0),2))</f>
        <v/>
      </c>
      <c r="L393" s="38">
        <f>IF($C393="","",$E393*$H393)</f>
        <v/>
      </c>
      <c r="M393" s="38">
        <f>IF($C393="","",$J393-$L393-$P393)</f>
        <v/>
      </c>
      <c r="N393" s="34" t="n"/>
      <c r="O393" s="34" t="n"/>
      <c r="P393" s="38">
        <f>IF(OR($C393="",$N393&lt;&gt;"Card"),0,ROUND(($J393+$K393)*IFERROR(INDEX(Shows!$G$4:$G$23,MATCH($B393,Shows!$A$4:$A$23,0)),0)+IFERROR(INDEX(Shows!$H$4:$H$23,MATCH($B393,Shows!$A$4:$A$23,0)),0),2))</f>
        <v/>
      </c>
      <c r="Q393" s="38">
        <f>IF($C393="","",$J393+$K393-$P393)</f>
        <v/>
      </c>
      <c r="R393" s="34" t="n"/>
      <c r="S393" s="34" t="n"/>
      <c r="T393" s="34" t="n"/>
    </row>
    <row r="394">
      <c r="A394" s="46" t="n"/>
      <c r="B394" s="40" t="n"/>
      <c r="C394" s="40" t="n"/>
      <c r="D394" s="11">
        <f>IF($C394="","",IFERROR(INDEX(Inventory!$B$4:$B$253,MATCH($C394,Inventory!$A$4:$A$253,0))&amp;" "&amp;INDEX(Inventory!$C$4:$C$253,MATCH($C394,Inventory!$A$4:$A$253,0)),"SKU not in Inventory"))</f>
        <v/>
      </c>
      <c r="E394" s="42" t="n"/>
      <c r="F394" s="41" t="n"/>
      <c r="G394" s="41" t="n"/>
      <c r="H394" s="47">
        <f>IF($C394="","",IFERROR(INDEX(Inventory!$H$4:$H$253,MATCH($C394,Inventory!$A$4:$A$253,0)),0))</f>
        <v/>
      </c>
      <c r="I394" s="40" t="n"/>
      <c r="J394" s="44">
        <f>IF($C394="","",MAX(0,$E394*$F394-$G394))</f>
        <v/>
      </c>
      <c r="K394" s="44">
        <f>IF(OR($C394="",$I394="No"),0,ROUND($J394*IFERROR(INDEX(Shows!$F$4:$F$23,MATCH($B394,Shows!$A$4:$A$23,0)),0),2))</f>
        <v/>
      </c>
      <c r="L394" s="44">
        <f>IF($C394="","",$E394*$H394)</f>
        <v/>
      </c>
      <c r="M394" s="44">
        <f>IF($C394="","",$J394-$L394-$P394)</f>
        <v/>
      </c>
      <c r="N394" s="40" t="n"/>
      <c r="O394" s="40" t="n"/>
      <c r="P394" s="44">
        <f>IF(OR($C394="",$N394&lt;&gt;"Card"),0,ROUND(($J394+$K394)*IFERROR(INDEX(Shows!$G$4:$G$23,MATCH($B394,Shows!$A$4:$A$23,0)),0)+IFERROR(INDEX(Shows!$H$4:$H$23,MATCH($B394,Shows!$A$4:$A$23,0)),0),2))</f>
        <v/>
      </c>
      <c r="Q394" s="44">
        <f>IF($C394="","",$J394+$K394-$P394)</f>
        <v/>
      </c>
      <c r="R394" s="40" t="n"/>
      <c r="S394" s="40" t="n"/>
      <c r="T394" s="40" t="n"/>
    </row>
    <row r="395">
      <c r="A395" s="48" t="n"/>
      <c r="B395" s="34" t="n"/>
      <c r="C395" s="34" t="n"/>
      <c r="D395" s="15">
        <f>IF($C395="","",IFERROR(INDEX(Inventory!$B$4:$B$253,MATCH($C395,Inventory!$A$4:$A$253,0))&amp;" "&amp;INDEX(Inventory!$C$4:$C$253,MATCH($C395,Inventory!$A$4:$A$253,0)),"SKU not in Inventory"))</f>
        <v/>
      </c>
      <c r="E395" s="36" t="n"/>
      <c r="F395" s="35" t="n"/>
      <c r="G395" s="35" t="n"/>
      <c r="H395" s="49">
        <f>IF($C395="","",IFERROR(INDEX(Inventory!$H$4:$H$253,MATCH($C395,Inventory!$A$4:$A$253,0)),0))</f>
        <v/>
      </c>
      <c r="I395" s="34" t="n"/>
      <c r="J395" s="38">
        <f>IF($C395="","",MAX(0,$E395*$F395-$G395))</f>
        <v/>
      </c>
      <c r="K395" s="38">
        <f>IF(OR($C395="",$I395="No"),0,ROUND($J395*IFERROR(INDEX(Shows!$F$4:$F$23,MATCH($B395,Shows!$A$4:$A$23,0)),0),2))</f>
        <v/>
      </c>
      <c r="L395" s="38">
        <f>IF($C395="","",$E395*$H395)</f>
        <v/>
      </c>
      <c r="M395" s="38">
        <f>IF($C395="","",$J395-$L395-$P395)</f>
        <v/>
      </c>
      <c r="N395" s="34" t="n"/>
      <c r="O395" s="34" t="n"/>
      <c r="P395" s="38">
        <f>IF(OR($C395="",$N395&lt;&gt;"Card"),0,ROUND(($J395+$K395)*IFERROR(INDEX(Shows!$G$4:$G$23,MATCH($B395,Shows!$A$4:$A$23,0)),0)+IFERROR(INDEX(Shows!$H$4:$H$23,MATCH($B395,Shows!$A$4:$A$23,0)),0),2))</f>
        <v/>
      </c>
      <c r="Q395" s="38">
        <f>IF($C395="","",$J395+$K395-$P395)</f>
        <v/>
      </c>
      <c r="R395" s="34" t="n"/>
      <c r="S395" s="34" t="n"/>
      <c r="T395" s="34" t="n"/>
    </row>
    <row r="396">
      <c r="A396" s="46" t="n"/>
      <c r="B396" s="40" t="n"/>
      <c r="C396" s="40" t="n"/>
      <c r="D396" s="11">
        <f>IF($C396="","",IFERROR(INDEX(Inventory!$B$4:$B$253,MATCH($C396,Inventory!$A$4:$A$253,0))&amp;" "&amp;INDEX(Inventory!$C$4:$C$253,MATCH($C396,Inventory!$A$4:$A$253,0)),"SKU not in Inventory"))</f>
        <v/>
      </c>
      <c r="E396" s="42" t="n"/>
      <c r="F396" s="41" t="n"/>
      <c r="G396" s="41" t="n"/>
      <c r="H396" s="47">
        <f>IF($C396="","",IFERROR(INDEX(Inventory!$H$4:$H$253,MATCH($C396,Inventory!$A$4:$A$253,0)),0))</f>
        <v/>
      </c>
      <c r="I396" s="40" t="n"/>
      <c r="J396" s="44">
        <f>IF($C396="","",MAX(0,$E396*$F396-$G396))</f>
        <v/>
      </c>
      <c r="K396" s="44">
        <f>IF(OR($C396="",$I396="No"),0,ROUND($J396*IFERROR(INDEX(Shows!$F$4:$F$23,MATCH($B396,Shows!$A$4:$A$23,0)),0),2))</f>
        <v/>
      </c>
      <c r="L396" s="44">
        <f>IF($C396="","",$E396*$H396)</f>
        <v/>
      </c>
      <c r="M396" s="44">
        <f>IF($C396="","",$J396-$L396-$P396)</f>
        <v/>
      </c>
      <c r="N396" s="40" t="n"/>
      <c r="O396" s="40" t="n"/>
      <c r="P396" s="44">
        <f>IF(OR($C396="",$N396&lt;&gt;"Card"),0,ROUND(($J396+$K396)*IFERROR(INDEX(Shows!$G$4:$G$23,MATCH($B396,Shows!$A$4:$A$23,0)),0)+IFERROR(INDEX(Shows!$H$4:$H$23,MATCH($B396,Shows!$A$4:$A$23,0)),0),2))</f>
        <v/>
      </c>
      <c r="Q396" s="44">
        <f>IF($C396="","",$J396+$K396-$P396)</f>
        <v/>
      </c>
      <c r="R396" s="40" t="n"/>
      <c r="S396" s="40" t="n"/>
      <c r="T396" s="40" t="n"/>
    </row>
    <row r="397">
      <c r="A397" s="48" t="n"/>
      <c r="B397" s="34" t="n"/>
      <c r="C397" s="34" t="n"/>
      <c r="D397" s="15">
        <f>IF($C397="","",IFERROR(INDEX(Inventory!$B$4:$B$253,MATCH($C397,Inventory!$A$4:$A$253,0))&amp;" "&amp;INDEX(Inventory!$C$4:$C$253,MATCH($C397,Inventory!$A$4:$A$253,0)),"SKU not in Inventory"))</f>
        <v/>
      </c>
      <c r="E397" s="36" t="n"/>
      <c r="F397" s="35" t="n"/>
      <c r="G397" s="35" t="n"/>
      <c r="H397" s="49">
        <f>IF($C397="","",IFERROR(INDEX(Inventory!$H$4:$H$253,MATCH($C397,Inventory!$A$4:$A$253,0)),0))</f>
        <v/>
      </c>
      <c r="I397" s="34" t="n"/>
      <c r="J397" s="38">
        <f>IF($C397="","",MAX(0,$E397*$F397-$G397))</f>
        <v/>
      </c>
      <c r="K397" s="38">
        <f>IF(OR($C397="",$I397="No"),0,ROUND($J397*IFERROR(INDEX(Shows!$F$4:$F$23,MATCH($B397,Shows!$A$4:$A$23,0)),0),2))</f>
        <v/>
      </c>
      <c r="L397" s="38">
        <f>IF($C397="","",$E397*$H397)</f>
        <v/>
      </c>
      <c r="M397" s="38">
        <f>IF($C397="","",$J397-$L397-$P397)</f>
        <v/>
      </c>
      <c r="N397" s="34" t="n"/>
      <c r="O397" s="34" t="n"/>
      <c r="P397" s="38">
        <f>IF(OR($C397="",$N397&lt;&gt;"Card"),0,ROUND(($J397+$K397)*IFERROR(INDEX(Shows!$G$4:$G$23,MATCH($B397,Shows!$A$4:$A$23,0)),0)+IFERROR(INDEX(Shows!$H$4:$H$23,MATCH($B397,Shows!$A$4:$A$23,0)),0),2))</f>
        <v/>
      </c>
      <c r="Q397" s="38">
        <f>IF($C397="","",$J397+$K397-$P397)</f>
        <v/>
      </c>
      <c r="R397" s="34" t="n"/>
      <c r="S397" s="34" t="n"/>
      <c r="T397" s="34" t="n"/>
    </row>
    <row r="398">
      <c r="A398" s="46" t="n"/>
      <c r="B398" s="40" t="n"/>
      <c r="C398" s="40" t="n"/>
      <c r="D398" s="11">
        <f>IF($C398="","",IFERROR(INDEX(Inventory!$B$4:$B$253,MATCH($C398,Inventory!$A$4:$A$253,0))&amp;" "&amp;INDEX(Inventory!$C$4:$C$253,MATCH($C398,Inventory!$A$4:$A$253,0)),"SKU not in Inventory"))</f>
        <v/>
      </c>
      <c r="E398" s="42" t="n"/>
      <c r="F398" s="41" t="n"/>
      <c r="G398" s="41" t="n"/>
      <c r="H398" s="47">
        <f>IF($C398="","",IFERROR(INDEX(Inventory!$H$4:$H$253,MATCH($C398,Inventory!$A$4:$A$253,0)),0))</f>
        <v/>
      </c>
      <c r="I398" s="40" t="n"/>
      <c r="J398" s="44">
        <f>IF($C398="","",MAX(0,$E398*$F398-$G398))</f>
        <v/>
      </c>
      <c r="K398" s="44">
        <f>IF(OR($C398="",$I398="No"),0,ROUND($J398*IFERROR(INDEX(Shows!$F$4:$F$23,MATCH($B398,Shows!$A$4:$A$23,0)),0),2))</f>
        <v/>
      </c>
      <c r="L398" s="44">
        <f>IF($C398="","",$E398*$H398)</f>
        <v/>
      </c>
      <c r="M398" s="44">
        <f>IF($C398="","",$J398-$L398-$P398)</f>
        <v/>
      </c>
      <c r="N398" s="40" t="n"/>
      <c r="O398" s="40" t="n"/>
      <c r="P398" s="44">
        <f>IF(OR($C398="",$N398&lt;&gt;"Card"),0,ROUND(($J398+$K398)*IFERROR(INDEX(Shows!$G$4:$G$23,MATCH($B398,Shows!$A$4:$A$23,0)),0)+IFERROR(INDEX(Shows!$H$4:$H$23,MATCH($B398,Shows!$A$4:$A$23,0)),0),2))</f>
        <v/>
      </c>
      <c r="Q398" s="44">
        <f>IF($C398="","",$J398+$K398-$P398)</f>
        <v/>
      </c>
      <c r="R398" s="40" t="n"/>
      <c r="S398" s="40" t="n"/>
      <c r="T398" s="40" t="n"/>
    </row>
    <row r="399">
      <c r="A399" s="48" t="n"/>
      <c r="B399" s="34" t="n"/>
      <c r="C399" s="34" t="n"/>
      <c r="D399" s="15">
        <f>IF($C399="","",IFERROR(INDEX(Inventory!$B$4:$B$253,MATCH($C399,Inventory!$A$4:$A$253,0))&amp;" "&amp;INDEX(Inventory!$C$4:$C$253,MATCH($C399,Inventory!$A$4:$A$253,0)),"SKU not in Inventory"))</f>
        <v/>
      </c>
      <c r="E399" s="36" t="n"/>
      <c r="F399" s="35" t="n"/>
      <c r="G399" s="35" t="n"/>
      <c r="H399" s="49">
        <f>IF($C399="","",IFERROR(INDEX(Inventory!$H$4:$H$253,MATCH($C399,Inventory!$A$4:$A$253,0)),0))</f>
        <v/>
      </c>
      <c r="I399" s="34" t="n"/>
      <c r="J399" s="38">
        <f>IF($C399="","",MAX(0,$E399*$F399-$G399))</f>
        <v/>
      </c>
      <c r="K399" s="38">
        <f>IF(OR($C399="",$I399="No"),0,ROUND($J399*IFERROR(INDEX(Shows!$F$4:$F$23,MATCH($B399,Shows!$A$4:$A$23,0)),0),2))</f>
        <v/>
      </c>
      <c r="L399" s="38">
        <f>IF($C399="","",$E399*$H399)</f>
        <v/>
      </c>
      <c r="M399" s="38">
        <f>IF($C399="","",$J399-$L399-$P399)</f>
        <v/>
      </c>
      <c r="N399" s="34" t="n"/>
      <c r="O399" s="34" t="n"/>
      <c r="P399" s="38">
        <f>IF(OR($C399="",$N399&lt;&gt;"Card"),0,ROUND(($J399+$K399)*IFERROR(INDEX(Shows!$G$4:$G$23,MATCH($B399,Shows!$A$4:$A$23,0)),0)+IFERROR(INDEX(Shows!$H$4:$H$23,MATCH($B399,Shows!$A$4:$A$23,0)),0),2))</f>
        <v/>
      </c>
      <c r="Q399" s="38">
        <f>IF($C399="","",$J399+$K399-$P399)</f>
        <v/>
      </c>
      <c r="R399" s="34" t="n"/>
      <c r="S399" s="34" t="n"/>
      <c r="T399" s="34" t="n"/>
    </row>
    <row r="400">
      <c r="A400" s="46" t="n"/>
      <c r="B400" s="40" t="n"/>
      <c r="C400" s="40" t="n"/>
      <c r="D400" s="11">
        <f>IF($C400="","",IFERROR(INDEX(Inventory!$B$4:$B$253,MATCH($C400,Inventory!$A$4:$A$253,0))&amp;" "&amp;INDEX(Inventory!$C$4:$C$253,MATCH($C400,Inventory!$A$4:$A$253,0)),"SKU not in Inventory"))</f>
        <v/>
      </c>
      <c r="E400" s="42" t="n"/>
      <c r="F400" s="41" t="n"/>
      <c r="G400" s="41" t="n"/>
      <c r="H400" s="47">
        <f>IF($C400="","",IFERROR(INDEX(Inventory!$H$4:$H$253,MATCH($C400,Inventory!$A$4:$A$253,0)),0))</f>
        <v/>
      </c>
      <c r="I400" s="40" t="n"/>
      <c r="J400" s="44">
        <f>IF($C400="","",MAX(0,$E400*$F400-$G400))</f>
        <v/>
      </c>
      <c r="K400" s="44">
        <f>IF(OR($C400="",$I400="No"),0,ROUND($J400*IFERROR(INDEX(Shows!$F$4:$F$23,MATCH($B400,Shows!$A$4:$A$23,0)),0),2))</f>
        <v/>
      </c>
      <c r="L400" s="44">
        <f>IF($C400="","",$E400*$H400)</f>
        <v/>
      </c>
      <c r="M400" s="44">
        <f>IF($C400="","",$J400-$L400-$P400)</f>
        <v/>
      </c>
      <c r="N400" s="40" t="n"/>
      <c r="O400" s="40" t="n"/>
      <c r="P400" s="44">
        <f>IF(OR($C400="",$N400&lt;&gt;"Card"),0,ROUND(($J400+$K400)*IFERROR(INDEX(Shows!$G$4:$G$23,MATCH($B400,Shows!$A$4:$A$23,0)),0)+IFERROR(INDEX(Shows!$H$4:$H$23,MATCH($B400,Shows!$A$4:$A$23,0)),0),2))</f>
        <v/>
      </c>
      <c r="Q400" s="44">
        <f>IF($C400="","",$J400+$K400-$P400)</f>
        <v/>
      </c>
      <c r="R400" s="40" t="n"/>
      <c r="S400" s="40" t="n"/>
      <c r="T400" s="40" t="n"/>
    </row>
    <row r="401">
      <c r="A401" s="48" t="n"/>
      <c r="B401" s="34" t="n"/>
      <c r="C401" s="34" t="n"/>
      <c r="D401" s="15">
        <f>IF($C401="","",IFERROR(INDEX(Inventory!$B$4:$B$253,MATCH($C401,Inventory!$A$4:$A$253,0))&amp;" "&amp;INDEX(Inventory!$C$4:$C$253,MATCH($C401,Inventory!$A$4:$A$253,0)),"SKU not in Inventory"))</f>
        <v/>
      </c>
      <c r="E401" s="36" t="n"/>
      <c r="F401" s="35" t="n"/>
      <c r="G401" s="35" t="n"/>
      <c r="H401" s="49">
        <f>IF($C401="","",IFERROR(INDEX(Inventory!$H$4:$H$253,MATCH($C401,Inventory!$A$4:$A$253,0)),0))</f>
        <v/>
      </c>
      <c r="I401" s="34" t="n"/>
      <c r="J401" s="38">
        <f>IF($C401="","",MAX(0,$E401*$F401-$G401))</f>
        <v/>
      </c>
      <c r="K401" s="38">
        <f>IF(OR($C401="",$I401="No"),0,ROUND($J401*IFERROR(INDEX(Shows!$F$4:$F$23,MATCH($B401,Shows!$A$4:$A$23,0)),0),2))</f>
        <v/>
      </c>
      <c r="L401" s="38">
        <f>IF($C401="","",$E401*$H401)</f>
        <v/>
      </c>
      <c r="M401" s="38">
        <f>IF($C401="","",$J401-$L401-$P401)</f>
        <v/>
      </c>
      <c r="N401" s="34" t="n"/>
      <c r="O401" s="34" t="n"/>
      <c r="P401" s="38">
        <f>IF(OR($C401="",$N401&lt;&gt;"Card"),0,ROUND(($J401+$K401)*IFERROR(INDEX(Shows!$G$4:$G$23,MATCH($B401,Shows!$A$4:$A$23,0)),0)+IFERROR(INDEX(Shows!$H$4:$H$23,MATCH($B401,Shows!$A$4:$A$23,0)),0),2))</f>
        <v/>
      </c>
      <c r="Q401" s="38">
        <f>IF($C401="","",$J401+$K401-$P401)</f>
        <v/>
      </c>
      <c r="R401" s="34" t="n"/>
      <c r="S401" s="34" t="n"/>
      <c r="T401" s="34" t="n"/>
    </row>
    <row r="402">
      <c r="A402" s="46" t="n"/>
      <c r="B402" s="40" t="n"/>
      <c r="C402" s="40" t="n"/>
      <c r="D402" s="11">
        <f>IF($C402="","",IFERROR(INDEX(Inventory!$B$4:$B$253,MATCH($C402,Inventory!$A$4:$A$253,0))&amp;" "&amp;INDEX(Inventory!$C$4:$C$253,MATCH($C402,Inventory!$A$4:$A$253,0)),"SKU not in Inventory"))</f>
        <v/>
      </c>
      <c r="E402" s="42" t="n"/>
      <c r="F402" s="41" t="n"/>
      <c r="G402" s="41" t="n"/>
      <c r="H402" s="47">
        <f>IF($C402="","",IFERROR(INDEX(Inventory!$H$4:$H$253,MATCH($C402,Inventory!$A$4:$A$253,0)),0))</f>
        <v/>
      </c>
      <c r="I402" s="40" t="n"/>
      <c r="J402" s="44">
        <f>IF($C402="","",MAX(0,$E402*$F402-$G402))</f>
        <v/>
      </c>
      <c r="K402" s="44">
        <f>IF(OR($C402="",$I402="No"),0,ROUND($J402*IFERROR(INDEX(Shows!$F$4:$F$23,MATCH($B402,Shows!$A$4:$A$23,0)),0),2))</f>
        <v/>
      </c>
      <c r="L402" s="44">
        <f>IF($C402="","",$E402*$H402)</f>
        <v/>
      </c>
      <c r="M402" s="44">
        <f>IF($C402="","",$J402-$L402-$P402)</f>
        <v/>
      </c>
      <c r="N402" s="40" t="n"/>
      <c r="O402" s="40" t="n"/>
      <c r="P402" s="44">
        <f>IF(OR($C402="",$N402&lt;&gt;"Card"),0,ROUND(($J402+$K402)*IFERROR(INDEX(Shows!$G$4:$G$23,MATCH($B402,Shows!$A$4:$A$23,0)),0)+IFERROR(INDEX(Shows!$H$4:$H$23,MATCH($B402,Shows!$A$4:$A$23,0)),0),2))</f>
        <v/>
      </c>
      <c r="Q402" s="44">
        <f>IF($C402="","",$J402+$K402-$P402)</f>
        <v/>
      </c>
      <c r="R402" s="40" t="n"/>
      <c r="S402" s="40" t="n"/>
      <c r="T402" s="40" t="n"/>
    </row>
    <row r="403">
      <c r="A403" s="48" t="n"/>
      <c r="B403" s="34" t="n"/>
      <c r="C403" s="34" t="n"/>
      <c r="D403" s="15">
        <f>IF($C403="","",IFERROR(INDEX(Inventory!$B$4:$B$253,MATCH($C403,Inventory!$A$4:$A$253,0))&amp;" "&amp;INDEX(Inventory!$C$4:$C$253,MATCH($C403,Inventory!$A$4:$A$253,0)),"SKU not in Inventory"))</f>
        <v/>
      </c>
      <c r="E403" s="36" t="n"/>
      <c r="F403" s="35" t="n"/>
      <c r="G403" s="35" t="n"/>
      <c r="H403" s="49">
        <f>IF($C403="","",IFERROR(INDEX(Inventory!$H$4:$H$253,MATCH($C403,Inventory!$A$4:$A$253,0)),0))</f>
        <v/>
      </c>
      <c r="I403" s="34" t="n"/>
      <c r="J403" s="38">
        <f>IF($C403="","",MAX(0,$E403*$F403-$G403))</f>
        <v/>
      </c>
      <c r="K403" s="38">
        <f>IF(OR($C403="",$I403="No"),0,ROUND($J403*IFERROR(INDEX(Shows!$F$4:$F$23,MATCH($B403,Shows!$A$4:$A$23,0)),0),2))</f>
        <v/>
      </c>
      <c r="L403" s="38">
        <f>IF($C403="","",$E403*$H403)</f>
        <v/>
      </c>
      <c r="M403" s="38">
        <f>IF($C403="","",$J403-$L403-$P403)</f>
        <v/>
      </c>
      <c r="N403" s="34" t="n"/>
      <c r="O403" s="34" t="n"/>
      <c r="P403" s="38">
        <f>IF(OR($C403="",$N403&lt;&gt;"Card"),0,ROUND(($J403+$K403)*IFERROR(INDEX(Shows!$G$4:$G$23,MATCH($B403,Shows!$A$4:$A$23,0)),0)+IFERROR(INDEX(Shows!$H$4:$H$23,MATCH($B403,Shows!$A$4:$A$23,0)),0),2))</f>
        <v/>
      </c>
      <c r="Q403" s="38">
        <f>IF($C403="","",$J403+$K403-$P403)</f>
        <v/>
      </c>
      <c r="R403" s="34" t="n"/>
      <c r="S403" s="34" t="n"/>
      <c r="T403" s="34" t="n"/>
    </row>
    <row r="404">
      <c r="A404" s="46" t="n"/>
      <c r="B404" s="40" t="n"/>
      <c r="C404" s="40" t="n"/>
      <c r="D404" s="11">
        <f>IF($C404="","",IFERROR(INDEX(Inventory!$B$4:$B$253,MATCH($C404,Inventory!$A$4:$A$253,0))&amp;" "&amp;INDEX(Inventory!$C$4:$C$253,MATCH($C404,Inventory!$A$4:$A$253,0)),"SKU not in Inventory"))</f>
        <v/>
      </c>
      <c r="E404" s="42" t="n"/>
      <c r="F404" s="41" t="n"/>
      <c r="G404" s="41" t="n"/>
      <c r="H404" s="47">
        <f>IF($C404="","",IFERROR(INDEX(Inventory!$H$4:$H$253,MATCH($C404,Inventory!$A$4:$A$253,0)),0))</f>
        <v/>
      </c>
      <c r="I404" s="40" t="n"/>
      <c r="J404" s="44">
        <f>IF($C404="","",MAX(0,$E404*$F404-$G404))</f>
        <v/>
      </c>
      <c r="K404" s="44">
        <f>IF(OR($C404="",$I404="No"),0,ROUND($J404*IFERROR(INDEX(Shows!$F$4:$F$23,MATCH($B404,Shows!$A$4:$A$23,0)),0),2))</f>
        <v/>
      </c>
      <c r="L404" s="44">
        <f>IF($C404="","",$E404*$H404)</f>
        <v/>
      </c>
      <c r="M404" s="44">
        <f>IF($C404="","",$J404-$L404-$P404)</f>
        <v/>
      </c>
      <c r="N404" s="40" t="n"/>
      <c r="O404" s="40" t="n"/>
      <c r="P404" s="44">
        <f>IF(OR($C404="",$N404&lt;&gt;"Card"),0,ROUND(($J404+$K404)*IFERROR(INDEX(Shows!$G$4:$G$23,MATCH($B404,Shows!$A$4:$A$23,0)),0)+IFERROR(INDEX(Shows!$H$4:$H$23,MATCH($B404,Shows!$A$4:$A$23,0)),0),2))</f>
        <v/>
      </c>
      <c r="Q404" s="44">
        <f>IF($C404="","",$J404+$K404-$P404)</f>
        <v/>
      </c>
      <c r="R404" s="40" t="n"/>
      <c r="S404" s="40" t="n"/>
      <c r="T404" s="40" t="n"/>
    </row>
    <row r="405">
      <c r="A405" s="48" t="n"/>
      <c r="B405" s="34" t="n"/>
      <c r="C405" s="34" t="n"/>
      <c r="D405" s="15">
        <f>IF($C405="","",IFERROR(INDEX(Inventory!$B$4:$B$253,MATCH($C405,Inventory!$A$4:$A$253,0))&amp;" "&amp;INDEX(Inventory!$C$4:$C$253,MATCH($C405,Inventory!$A$4:$A$253,0)),"SKU not in Inventory"))</f>
        <v/>
      </c>
      <c r="E405" s="36" t="n"/>
      <c r="F405" s="35" t="n"/>
      <c r="G405" s="35" t="n"/>
      <c r="H405" s="49">
        <f>IF($C405="","",IFERROR(INDEX(Inventory!$H$4:$H$253,MATCH($C405,Inventory!$A$4:$A$253,0)),0))</f>
        <v/>
      </c>
      <c r="I405" s="34" t="n"/>
      <c r="J405" s="38">
        <f>IF($C405="","",MAX(0,$E405*$F405-$G405))</f>
        <v/>
      </c>
      <c r="K405" s="38">
        <f>IF(OR($C405="",$I405="No"),0,ROUND($J405*IFERROR(INDEX(Shows!$F$4:$F$23,MATCH($B405,Shows!$A$4:$A$23,0)),0),2))</f>
        <v/>
      </c>
      <c r="L405" s="38">
        <f>IF($C405="","",$E405*$H405)</f>
        <v/>
      </c>
      <c r="M405" s="38">
        <f>IF($C405="","",$J405-$L405-$P405)</f>
        <v/>
      </c>
      <c r="N405" s="34" t="n"/>
      <c r="O405" s="34" t="n"/>
      <c r="P405" s="38">
        <f>IF(OR($C405="",$N405&lt;&gt;"Card"),0,ROUND(($J405+$K405)*IFERROR(INDEX(Shows!$G$4:$G$23,MATCH($B405,Shows!$A$4:$A$23,0)),0)+IFERROR(INDEX(Shows!$H$4:$H$23,MATCH($B405,Shows!$A$4:$A$23,0)),0),2))</f>
        <v/>
      </c>
      <c r="Q405" s="38">
        <f>IF($C405="","",$J405+$K405-$P405)</f>
        <v/>
      </c>
      <c r="R405" s="34" t="n"/>
      <c r="S405" s="34" t="n"/>
      <c r="T405" s="34" t="n"/>
    </row>
    <row r="406">
      <c r="A406" s="46" t="n"/>
      <c r="B406" s="40" t="n"/>
      <c r="C406" s="40" t="n"/>
      <c r="D406" s="11">
        <f>IF($C406="","",IFERROR(INDEX(Inventory!$B$4:$B$253,MATCH($C406,Inventory!$A$4:$A$253,0))&amp;" "&amp;INDEX(Inventory!$C$4:$C$253,MATCH($C406,Inventory!$A$4:$A$253,0)),"SKU not in Inventory"))</f>
        <v/>
      </c>
      <c r="E406" s="42" t="n"/>
      <c r="F406" s="41" t="n"/>
      <c r="G406" s="41" t="n"/>
      <c r="H406" s="47">
        <f>IF($C406="","",IFERROR(INDEX(Inventory!$H$4:$H$253,MATCH($C406,Inventory!$A$4:$A$253,0)),0))</f>
        <v/>
      </c>
      <c r="I406" s="40" t="n"/>
      <c r="J406" s="44">
        <f>IF($C406="","",MAX(0,$E406*$F406-$G406))</f>
        <v/>
      </c>
      <c r="K406" s="44">
        <f>IF(OR($C406="",$I406="No"),0,ROUND($J406*IFERROR(INDEX(Shows!$F$4:$F$23,MATCH($B406,Shows!$A$4:$A$23,0)),0),2))</f>
        <v/>
      </c>
      <c r="L406" s="44">
        <f>IF($C406="","",$E406*$H406)</f>
        <v/>
      </c>
      <c r="M406" s="44">
        <f>IF($C406="","",$J406-$L406-$P406)</f>
        <v/>
      </c>
      <c r="N406" s="40" t="n"/>
      <c r="O406" s="40" t="n"/>
      <c r="P406" s="44">
        <f>IF(OR($C406="",$N406&lt;&gt;"Card"),0,ROUND(($J406+$K406)*IFERROR(INDEX(Shows!$G$4:$G$23,MATCH($B406,Shows!$A$4:$A$23,0)),0)+IFERROR(INDEX(Shows!$H$4:$H$23,MATCH($B406,Shows!$A$4:$A$23,0)),0),2))</f>
        <v/>
      </c>
      <c r="Q406" s="44">
        <f>IF($C406="","",$J406+$K406-$P406)</f>
        <v/>
      </c>
      <c r="R406" s="40" t="n"/>
      <c r="S406" s="40" t="n"/>
      <c r="T406" s="40" t="n"/>
    </row>
    <row r="407">
      <c r="A407" s="48" t="n"/>
      <c r="B407" s="34" t="n"/>
      <c r="C407" s="34" t="n"/>
      <c r="D407" s="15">
        <f>IF($C407="","",IFERROR(INDEX(Inventory!$B$4:$B$253,MATCH($C407,Inventory!$A$4:$A$253,0))&amp;" "&amp;INDEX(Inventory!$C$4:$C$253,MATCH($C407,Inventory!$A$4:$A$253,0)),"SKU not in Inventory"))</f>
        <v/>
      </c>
      <c r="E407" s="36" t="n"/>
      <c r="F407" s="35" t="n"/>
      <c r="G407" s="35" t="n"/>
      <c r="H407" s="49">
        <f>IF($C407="","",IFERROR(INDEX(Inventory!$H$4:$H$253,MATCH($C407,Inventory!$A$4:$A$253,0)),0))</f>
        <v/>
      </c>
      <c r="I407" s="34" t="n"/>
      <c r="J407" s="38">
        <f>IF($C407="","",MAX(0,$E407*$F407-$G407))</f>
        <v/>
      </c>
      <c r="K407" s="38">
        <f>IF(OR($C407="",$I407="No"),0,ROUND($J407*IFERROR(INDEX(Shows!$F$4:$F$23,MATCH($B407,Shows!$A$4:$A$23,0)),0),2))</f>
        <v/>
      </c>
      <c r="L407" s="38">
        <f>IF($C407="","",$E407*$H407)</f>
        <v/>
      </c>
      <c r="M407" s="38">
        <f>IF($C407="","",$J407-$L407-$P407)</f>
        <v/>
      </c>
      <c r="N407" s="34" t="n"/>
      <c r="O407" s="34" t="n"/>
      <c r="P407" s="38">
        <f>IF(OR($C407="",$N407&lt;&gt;"Card"),0,ROUND(($J407+$K407)*IFERROR(INDEX(Shows!$G$4:$G$23,MATCH($B407,Shows!$A$4:$A$23,0)),0)+IFERROR(INDEX(Shows!$H$4:$H$23,MATCH($B407,Shows!$A$4:$A$23,0)),0),2))</f>
        <v/>
      </c>
      <c r="Q407" s="38">
        <f>IF($C407="","",$J407+$K407-$P407)</f>
        <v/>
      </c>
      <c r="R407" s="34" t="n"/>
      <c r="S407" s="34" t="n"/>
      <c r="T407" s="34" t="n"/>
    </row>
    <row r="408">
      <c r="A408" s="46" t="n"/>
      <c r="B408" s="40" t="n"/>
      <c r="C408" s="40" t="n"/>
      <c r="D408" s="11">
        <f>IF($C408="","",IFERROR(INDEX(Inventory!$B$4:$B$253,MATCH($C408,Inventory!$A$4:$A$253,0))&amp;" "&amp;INDEX(Inventory!$C$4:$C$253,MATCH($C408,Inventory!$A$4:$A$253,0)),"SKU not in Inventory"))</f>
        <v/>
      </c>
      <c r="E408" s="42" t="n"/>
      <c r="F408" s="41" t="n"/>
      <c r="G408" s="41" t="n"/>
      <c r="H408" s="47">
        <f>IF($C408="","",IFERROR(INDEX(Inventory!$H$4:$H$253,MATCH($C408,Inventory!$A$4:$A$253,0)),0))</f>
        <v/>
      </c>
      <c r="I408" s="40" t="n"/>
      <c r="J408" s="44">
        <f>IF($C408="","",MAX(0,$E408*$F408-$G408))</f>
        <v/>
      </c>
      <c r="K408" s="44">
        <f>IF(OR($C408="",$I408="No"),0,ROUND($J408*IFERROR(INDEX(Shows!$F$4:$F$23,MATCH($B408,Shows!$A$4:$A$23,0)),0),2))</f>
        <v/>
      </c>
      <c r="L408" s="44">
        <f>IF($C408="","",$E408*$H408)</f>
        <v/>
      </c>
      <c r="M408" s="44">
        <f>IF($C408="","",$J408-$L408-$P408)</f>
        <v/>
      </c>
      <c r="N408" s="40" t="n"/>
      <c r="O408" s="40" t="n"/>
      <c r="P408" s="44">
        <f>IF(OR($C408="",$N408&lt;&gt;"Card"),0,ROUND(($J408+$K408)*IFERROR(INDEX(Shows!$G$4:$G$23,MATCH($B408,Shows!$A$4:$A$23,0)),0)+IFERROR(INDEX(Shows!$H$4:$H$23,MATCH($B408,Shows!$A$4:$A$23,0)),0),2))</f>
        <v/>
      </c>
      <c r="Q408" s="44">
        <f>IF($C408="","",$J408+$K408-$P408)</f>
        <v/>
      </c>
      <c r="R408" s="40" t="n"/>
      <c r="S408" s="40" t="n"/>
      <c r="T408" s="40" t="n"/>
    </row>
    <row r="409">
      <c r="A409" s="48" t="n"/>
      <c r="B409" s="34" t="n"/>
      <c r="C409" s="34" t="n"/>
      <c r="D409" s="15">
        <f>IF($C409="","",IFERROR(INDEX(Inventory!$B$4:$B$253,MATCH($C409,Inventory!$A$4:$A$253,0))&amp;" "&amp;INDEX(Inventory!$C$4:$C$253,MATCH($C409,Inventory!$A$4:$A$253,0)),"SKU not in Inventory"))</f>
        <v/>
      </c>
      <c r="E409" s="36" t="n"/>
      <c r="F409" s="35" t="n"/>
      <c r="G409" s="35" t="n"/>
      <c r="H409" s="49">
        <f>IF($C409="","",IFERROR(INDEX(Inventory!$H$4:$H$253,MATCH($C409,Inventory!$A$4:$A$253,0)),0))</f>
        <v/>
      </c>
      <c r="I409" s="34" t="n"/>
      <c r="J409" s="38">
        <f>IF($C409="","",MAX(0,$E409*$F409-$G409))</f>
        <v/>
      </c>
      <c r="K409" s="38">
        <f>IF(OR($C409="",$I409="No"),0,ROUND($J409*IFERROR(INDEX(Shows!$F$4:$F$23,MATCH($B409,Shows!$A$4:$A$23,0)),0),2))</f>
        <v/>
      </c>
      <c r="L409" s="38">
        <f>IF($C409="","",$E409*$H409)</f>
        <v/>
      </c>
      <c r="M409" s="38">
        <f>IF($C409="","",$J409-$L409-$P409)</f>
        <v/>
      </c>
      <c r="N409" s="34" t="n"/>
      <c r="O409" s="34" t="n"/>
      <c r="P409" s="38">
        <f>IF(OR($C409="",$N409&lt;&gt;"Card"),0,ROUND(($J409+$K409)*IFERROR(INDEX(Shows!$G$4:$G$23,MATCH($B409,Shows!$A$4:$A$23,0)),0)+IFERROR(INDEX(Shows!$H$4:$H$23,MATCH($B409,Shows!$A$4:$A$23,0)),0),2))</f>
        <v/>
      </c>
      <c r="Q409" s="38">
        <f>IF($C409="","",$J409+$K409-$P409)</f>
        <v/>
      </c>
      <c r="R409" s="34" t="n"/>
      <c r="S409" s="34" t="n"/>
      <c r="T409" s="34" t="n"/>
    </row>
    <row r="410">
      <c r="A410" s="46" t="n"/>
      <c r="B410" s="40" t="n"/>
      <c r="C410" s="40" t="n"/>
      <c r="D410" s="11">
        <f>IF($C410="","",IFERROR(INDEX(Inventory!$B$4:$B$253,MATCH($C410,Inventory!$A$4:$A$253,0))&amp;" "&amp;INDEX(Inventory!$C$4:$C$253,MATCH($C410,Inventory!$A$4:$A$253,0)),"SKU not in Inventory"))</f>
        <v/>
      </c>
      <c r="E410" s="42" t="n"/>
      <c r="F410" s="41" t="n"/>
      <c r="G410" s="41" t="n"/>
      <c r="H410" s="47">
        <f>IF($C410="","",IFERROR(INDEX(Inventory!$H$4:$H$253,MATCH($C410,Inventory!$A$4:$A$253,0)),0))</f>
        <v/>
      </c>
      <c r="I410" s="40" t="n"/>
      <c r="J410" s="44">
        <f>IF($C410="","",MAX(0,$E410*$F410-$G410))</f>
        <v/>
      </c>
      <c r="K410" s="44">
        <f>IF(OR($C410="",$I410="No"),0,ROUND($J410*IFERROR(INDEX(Shows!$F$4:$F$23,MATCH($B410,Shows!$A$4:$A$23,0)),0),2))</f>
        <v/>
      </c>
      <c r="L410" s="44">
        <f>IF($C410="","",$E410*$H410)</f>
        <v/>
      </c>
      <c r="M410" s="44">
        <f>IF($C410="","",$J410-$L410-$P410)</f>
        <v/>
      </c>
      <c r="N410" s="40" t="n"/>
      <c r="O410" s="40" t="n"/>
      <c r="P410" s="44">
        <f>IF(OR($C410="",$N410&lt;&gt;"Card"),0,ROUND(($J410+$K410)*IFERROR(INDEX(Shows!$G$4:$G$23,MATCH($B410,Shows!$A$4:$A$23,0)),0)+IFERROR(INDEX(Shows!$H$4:$H$23,MATCH($B410,Shows!$A$4:$A$23,0)),0),2))</f>
        <v/>
      </c>
      <c r="Q410" s="44">
        <f>IF($C410="","",$J410+$K410-$P410)</f>
        <v/>
      </c>
      <c r="R410" s="40" t="n"/>
      <c r="S410" s="40" t="n"/>
      <c r="T410" s="40" t="n"/>
    </row>
    <row r="411">
      <c r="A411" s="48" t="n"/>
      <c r="B411" s="34" t="n"/>
      <c r="C411" s="34" t="n"/>
      <c r="D411" s="15">
        <f>IF($C411="","",IFERROR(INDEX(Inventory!$B$4:$B$253,MATCH($C411,Inventory!$A$4:$A$253,0))&amp;" "&amp;INDEX(Inventory!$C$4:$C$253,MATCH($C411,Inventory!$A$4:$A$253,0)),"SKU not in Inventory"))</f>
        <v/>
      </c>
      <c r="E411" s="36" t="n"/>
      <c r="F411" s="35" t="n"/>
      <c r="G411" s="35" t="n"/>
      <c r="H411" s="49">
        <f>IF($C411="","",IFERROR(INDEX(Inventory!$H$4:$H$253,MATCH($C411,Inventory!$A$4:$A$253,0)),0))</f>
        <v/>
      </c>
      <c r="I411" s="34" t="n"/>
      <c r="J411" s="38">
        <f>IF($C411="","",MAX(0,$E411*$F411-$G411))</f>
        <v/>
      </c>
      <c r="K411" s="38">
        <f>IF(OR($C411="",$I411="No"),0,ROUND($J411*IFERROR(INDEX(Shows!$F$4:$F$23,MATCH($B411,Shows!$A$4:$A$23,0)),0),2))</f>
        <v/>
      </c>
      <c r="L411" s="38">
        <f>IF($C411="","",$E411*$H411)</f>
        <v/>
      </c>
      <c r="M411" s="38">
        <f>IF($C411="","",$J411-$L411-$P411)</f>
        <v/>
      </c>
      <c r="N411" s="34" t="n"/>
      <c r="O411" s="34" t="n"/>
      <c r="P411" s="38">
        <f>IF(OR($C411="",$N411&lt;&gt;"Card"),0,ROUND(($J411+$K411)*IFERROR(INDEX(Shows!$G$4:$G$23,MATCH($B411,Shows!$A$4:$A$23,0)),0)+IFERROR(INDEX(Shows!$H$4:$H$23,MATCH($B411,Shows!$A$4:$A$23,0)),0),2))</f>
        <v/>
      </c>
      <c r="Q411" s="38">
        <f>IF($C411="","",$J411+$K411-$P411)</f>
        <v/>
      </c>
      <c r="R411" s="34" t="n"/>
      <c r="S411" s="34" t="n"/>
      <c r="T411" s="34" t="n"/>
    </row>
    <row r="412">
      <c r="A412" s="46" t="n"/>
      <c r="B412" s="40" t="n"/>
      <c r="C412" s="40" t="n"/>
      <c r="D412" s="11">
        <f>IF($C412="","",IFERROR(INDEX(Inventory!$B$4:$B$253,MATCH($C412,Inventory!$A$4:$A$253,0))&amp;" "&amp;INDEX(Inventory!$C$4:$C$253,MATCH($C412,Inventory!$A$4:$A$253,0)),"SKU not in Inventory"))</f>
        <v/>
      </c>
      <c r="E412" s="42" t="n"/>
      <c r="F412" s="41" t="n"/>
      <c r="G412" s="41" t="n"/>
      <c r="H412" s="47">
        <f>IF($C412="","",IFERROR(INDEX(Inventory!$H$4:$H$253,MATCH($C412,Inventory!$A$4:$A$253,0)),0))</f>
        <v/>
      </c>
      <c r="I412" s="40" t="n"/>
      <c r="J412" s="44">
        <f>IF($C412="","",MAX(0,$E412*$F412-$G412))</f>
        <v/>
      </c>
      <c r="K412" s="44">
        <f>IF(OR($C412="",$I412="No"),0,ROUND($J412*IFERROR(INDEX(Shows!$F$4:$F$23,MATCH($B412,Shows!$A$4:$A$23,0)),0),2))</f>
        <v/>
      </c>
      <c r="L412" s="44">
        <f>IF($C412="","",$E412*$H412)</f>
        <v/>
      </c>
      <c r="M412" s="44">
        <f>IF($C412="","",$J412-$L412-$P412)</f>
        <v/>
      </c>
      <c r="N412" s="40" t="n"/>
      <c r="O412" s="40" t="n"/>
      <c r="P412" s="44">
        <f>IF(OR($C412="",$N412&lt;&gt;"Card"),0,ROUND(($J412+$K412)*IFERROR(INDEX(Shows!$G$4:$G$23,MATCH($B412,Shows!$A$4:$A$23,0)),0)+IFERROR(INDEX(Shows!$H$4:$H$23,MATCH($B412,Shows!$A$4:$A$23,0)),0),2))</f>
        <v/>
      </c>
      <c r="Q412" s="44">
        <f>IF($C412="","",$J412+$K412-$P412)</f>
        <v/>
      </c>
      <c r="R412" s="40" t="n"/>
      <c r="S412" s="40" t="n"/>
      <c r="T412" s="40" t="n"/>
    </row>
    <row r="413">
      <c r="A413" s="48" t="n"/>
      <c r="B413" s="34" t="n"/>
      <c r="C413" s="34" t="n"/>
      <c r="D413" s="15">
        <f>IF($C413="","",IFERROR(INDEX(Inventory!$B$4:$B$253,MATCH($C413,Inventory!$A$4:$A$253,0))&amp;" "&amp;INDEX(Inventory!$C$4:$C$253,MATCH($C413,Inventory!$A$4:$A$253,0)),"SKU not in Inventory"))</f>
        <v/>
      </c>
      <c r="E413" s="36" t="n"/>
      <c r="F413" s="35" t="n"/>
      <c r="G413" s="35" t="n"/>
      <c r="H413" s="49">
        <f>IF($C413="","",IFERROR(INDEX(Inventory!$H$4:$H$253,MATCH($C413,Inventory!$A$4:$A$253,0)),0))</f>
        <v/>
      </c>
      <c r="I413" s="34" t="n"/>
      <c r="J413" s="38">
        <f>IF($C413="","",MAX(0,$E413*$F413-$G413))</f>
        <v/>
      </c>
      <c r="K413" s="38">
        <f>IF(OR($C413="",$I413="No"),0,ROUND($J413*IFERROR(INDEX(Shows!$F$4:$F$23,MATCH($B413,Shows!$A$4:$A$23,0)),0),2))</f>
        <v/>
      </c>
      <c r="L413" s="38">
        <f>IF($C413="","",$E413*$H413)</f>
        <v/>
      </c>
      <c r="M413" s="38">
        <f>IF($C413="","",$J413-$L413-$P413)</f>
        <v/>
      </c>
      <c r="N413" s="34" t="n"/>
      <c r="O413" s="34" t="n"/>
      <c r="P413" s="38">
        <f>IF(OR($C413="",$N413&lt;&gt;"Card"),0,ROUND(($J413+$K413)*IFERROR(INDEX(Shows!$G$4:$G$23,MATCH($B413,Shows!$A$4:$A$23,0)),0)+IFERROR(INDEX(Shows!$H$4:$H$23,MATCH($B413,Shows!$A$4:$A$23,0)),0),2))</f>
        <v/>
      </c>
      <c r="Q413" s="38">
        <f>IF($C413="","",$J413+$K413-$P413)</f>
        <v/>
      </c>
      <c r="R413" s="34" t="n"/>
      <c r="S413" s="34" t="n"/>
      <c r="T413" s="34" t="n"/>
    </row>
    <row r="414">
      <c r="A414" s="46" t="n"/>
      <c r="B414" s="40" t="n"/>
      <c r="C414" s="40" t="n"/>
      <c r="D414" s="11">
        <f>IF($C414="","",IFERROR(INDEX(Inventory!$B$4:$B$253,MATCH($C414,Inventory!$A$4:$A$253,0))&amp;" "&amp;INDEX(Inventory!$C$4:$C$253,MATCH($C414,Inventory!$A$4:$A$253,0)),"SKU not in Inventory"))</f>
        <v/>
      </c>
      <c r="E414" s="42" t="n"/>
      <c r="F414" s="41" t="n"/>
      <c r="G414" s="41" t="n"/>
      <c r="H414" s="47">
        <f>IF($C414="","",IFERROR(INDEX(Inventory!$H$4:$H$253,MATCH($C414,Inventory!$A$4:$A$253,0)),0))</f>
        <v/>
      </c>
      <c r="I414" s="40" t="n"/>
      <c r="J414" s="44">
        <f>IF($C414="","",MAX(0,$E414*$F414-$G414))</f>
        <v/>
      </c>
      <c r="K414" s="44">
        <f>IF(OR($C414="",$I414="No"),0,ROUND($J414*IFERROR(INDEX(Shows!$F$4:$F$23,MATCH($B414,Shows!$A$4:$A$23,0)),0),2))</f>
        <v/>
      </c>
      <c r="L414" s="44">
        <f>IF($C414="","",$E414*$H414)</f>
        <v/>
      </c>
      <c r="M414" s="44">
        <f>IF($C414="","",$J414-$L414-$P414)</f>
        <v/>
      </c>
      <c r="N414" s="40" t="n"/>
      <c r="O414" s="40" t="n"/>
      <c r="P414" s="44">
        <f>IF(OR($C414="",$N414&lt;&gt;"Card"),0,ROUND(($J414+$K414)*IFERROR(INDEX(Shows!$G$4:$G$23,MATCH($B414,Shows!$A$4:$A$23,0)),0)+IFERROR(INDEX(Shows!$H$4:$H$23,MATCH($B414,Shows!$A$4:$A$23,0)),0),2))</f>
        <v/>
      </c>
      <c r="Q414" s="44">
        <f>IF($C414="","",$J414+$K414-$P414)</f>
        <v/>
      </c>
      <c r="R414" s="40" t="n"/>
      <c r="S414" s="40" t="n"/>
      <c r="T414" s="40" t="n"/>
    </row>
    <row r="415">
      <c r="A415" s="48" t="n"/>
      <c r="B415" s="34" t="n"/>
      <c r="C415" s="34" t="n"/>
      <c r="D415" s="15">
        <f>IF($C415="","",IFERROR(INDEX(Inventory!$B$4:$B$253,MATCH($C415,Inventory!$A$4:$A$253,0))&amp;" "&amp;INDEX(Inventory!$C$4:$C$253,MATCH($C415,Inventory!$A$4:$A$253,0)),"SKU not in Inventory"))</f>
        <v/>
      </c>
      <c r="E415" s="36" t="n"/>
      <c r="F415" s="35" t="n"/>
      <c r="G415" s="35" t="n"/>
      <c r="H415" s="49">
        <f>IF($C415="","",IFERROR(INDEX(Inventory!$H$4:$H$253,MATCH($C415,Inventory!$A$4:$A$253,0)),0))</f>
        <v/>
      </c>
      <c r="I415" s="34" t="n"/>
      <c r="J415" s="38">
        <f>IF($C415="","",MAX(0,$E415*$F415-$G415))</f>
        <v/>
      </c>
      <c r="K415" s="38">
        <f>IF(OR($C415="",$I415="No"),0,ROUND($J415*IFERROR(INDEX(Shows!$F$4:$F$23,MATCH($B415,Shows!$A$4:$A$23,0)),0),2))</f>
        <v/>
      </c>
      <c r="L415" s="38">
        <f>IF($C415="","",$E415*$H415)</f>
        <v/>
      </c>
      <c r="M415" s="38">
        <f>IF($C415="","",$J415-$L415-$P415)</f>
        <v/>
      </c>
      <c r="N415" s="34" t="n"/>
      <c r="O415" s="34" t="n"/>
      <c r="P415" s="38">
        <f>IF(OR($C415="",$N415&lt;&gt;"Card"),0,ROUND(($J415+$K415)*IFERROR(INDEX(Shows!$G$4:$G$23,MATCH($B415,Shows!$A$4:$A$23,0)),0)+IFERROR(INDEX(Shows!$H$4:$H$23,MATCH($B415,Shows!$A$4:$A$23,0)),0),2))</f>
        <v/>
      </c>
      <c r="Q415" s="38">
        <f>IF($C415="","",$J415+$K415-$P415)</f>
        <v/>
      </c>
      <c r="R415" s="34" t="n"/>
      <c r="S415" s="34" t="n"/>
      <c r="T415" s="34" t="n"/>
    </row>
    <row r="416">
      <c r="A416" s="46" t="n"/>
      <c r="B416" s="40" t="n"/>
      <c r="C416" s="40" t="n"/>
      <c r="D416" s="11">
        <f>IF($C416="","",IFERROR(INDEX(Inventory!$B$4:$B$253,MATCH($C416,Inventory!$A$4:$A$253,0))&amp;" "&amp;INDEX(Inventory!$C$4:$C$253,MATCH($C416,Inventory!$A$4:$A$253,0)),"SKU not in Inventory"))</f>
        <v/>
      </c>
      <c r="E416" s="42" t="n"/>
      <c r="F416" s="41" t="n"/>
      <c r="G416" s="41" t="n"/>
      <c r="H416" s="47">
        <f>IF($C416="","",IFERROR(INDEX(Inventory!$H$4:$H$253,MATCH($C416,Inventory!$A$4:$A$253,0)),0))</f>
        <v/>
      </c>
      <c r="I416" s="40" t="n"/>
      <c r="J416" s="44">
        <f>IF($C416="","",MAX(0,$E416*$F416-$G416))</f>
        <v/>
      </c>
      <c r="K416" s="44">
        <f>IF(OR($C416="",$I416="No"),0,ROUND($J416*IFERROR(INDEX(Shows!$F$4:$F$23,MATCH($B416,Shows!$A$4:$A$23,0)),0),2))</f>
        <v/>
      </c>
      <c r="L416" s="44">
        <f>IF($C416="","",$E416*$H416)</f>
        <v/>
      </c>
      <c r="M416" s="44">
        <f>IF($C416="","",$J416-$L416-$P416)</f>
        <v/>
      </c>
      <c r="N416" s="40" t="n"/>
      <c r="O416" s="40" t="n"/>
      <c r="P416" s="44">
        <f>IF(OR($C416="",$N416&lt;&gt;"Card"),0,ROUND(($J416+$K416)*IFERROR(INDEX(Shows!$G$4:$G$23,MATCH($B416,Shows!$A$4:$A$23,0)),0)+IFERROR(INDEX(Shows!$H$4:$H$23,MATCH($B416,Shows!$A$4:$A$23,0)),0),2))</f>
        <v/>
      </c>
      <c r="Q416" s="44">
        <f>IF($C416="","",$J416+$K416-$P416)</f>
        <v/>
      </c>
      <c r="R416" s="40" t="n"/>
      <c r="S416" s="40" t="n"/>
      <c r="T416" s="40" t="n"/>
    </row>
    <row r="417">
      <c r="A417" s="48" t="n"/>
      <c r="B417" s="34" t="n"/>
      <c r="C417" s="34" t="n"/>
      <c r="D417" s="15">
        <f>IF($C417="","",IFERROR(INDEX(Inventory!$B$4:$B$253,MATCH($C417,Inventory!$A$4:$A$253,0))&amp;" "&amp;INDEX(Inventory!$C$4:$C$253,MATCH($C417,Inventory!$A$4:$A$253,0)),"SKU not in Inventory"))</f>
        <v/>
      </c>
      <c r="E417" s="36" t="n"/>
      <c r="F417" s="35" t="n"/>
      <c r="G417" s="35" t="n"/>
      <c r="H417" s="49">
        <f>IF($C417="","",IFERROR(INDEX(Inventory!$H$4:$H$253,MATCH($C417,Inventory!$A$4:$A$253,0)),0))</f>
        <v/>
      </c>
      <c r="I417" s="34" t="n"/>
      <c r="J417" s="38">
        <f>IF($C417="","",MAX(0,$E417*$F417-$G417))</f>
        <v/>
      </c>
      <c r="K417" s="38">
        <f>IF(OR($C417="",$I417="No"),0,ROUND($J417*IFERROR(INDEX(Shows!$F$4:$F$23,MATCH($B417,Shows!$A$4:$A$23,0)),0),2))</f>
        <v/>
      </c>
      <c r="L417" s="38">
        <f>IF($C417="","",$E417*$H417)</f>
        <v/>
      </c>
      <c r="M417" s="38">
        <f>IF($C417="","",$J417-$L417-$P417)</f>
        <v/>
      </c>
      <c r="N417" s="34" t="n"/>
      <c r="O417" s="34" t="n"/>
      <c r="P417" s="38">
        <f>IF(OR($C417="",$N417&lt;&gt;"Card"),0,ROUND(($J417+$K417)*IFERROR(INDEX(Shows!$G$4:$G$23,MATCH($B417,Shows!$A$4:$A$23,0)),0)+IFERROR(INDEX(Shows!$H$4:$H$23,MATCH($B417,Shows!$A$4:$A$23,0)),0),2))</f>
        <v/>
      </c>
      <c r="Q417" s="38">
        <f>IF($C417="","",$J417+$K417-$P417)</f>
        <v/>
      </c>
      <c r="R417" s="34" t="n"/>
      <c r="S417" s="34" t="n"/>
      <c r="T417" s="34" t="n"/>
    </row>
    <row r="418">
      <c r="A418" s="46" t="n"/>
      <c r="B418" s="40" t="n"/>
      <c r="C418" s="40" t="n"/>
      <c r="D418" s="11">
        <f>IF($C418="","",IFERROR(INDEX(Inventory!$B$4:$B$253,MATCH($C418,Inventory!$A$4:$A$253,0))&amp;" "&amp;INDEX(Inventory!$C$4:$C$253,MATCH($C418,Inventory!$A$4:$A$253,0)),"SKU not in Inventory"))</f>
        <v/>
      </c>
      <c r="E418" s="42" t="n"/>
      <c r="F418" s="41" t="n"/>
      <c r="G418" s="41" t="n"/>
      <c r="H418" s="47">
        <f>IF($C418="","",IFERROR(INDEX(Inventory!$H$4:$H$253,MATCH($C418,Inventory!$A$4:$A$253,0)),0))</f>
        <v/>
      </c>
      <c r="I418" s="40" t="n"/>
      <c r="J418" s="44">
        <f>IF($C418="","",MAX(0,$E418*$F418-$G418))</f>
        <v/>
      </c>
      <c r="K418" s="44">
        <f>IF(OR($C418="",$I418="No"),0,ROUND($J418*IFERROR(INDEX(Shows!$F$4:$F$23,MATCH($B418,Shows!$A$4:$A$23,0)),0),2))</f>
        <v/>
      </c>
      <c r="L418" s="44">
        <f>IF($C418="","",$E418*$H418)</f>
        <v/>
      </c>
      <c r="M418" s="44">
        <f>IF($C418="","",$J418-$L418-$P418)</f>
        <v/>
      </c>
      <c r="N418" s="40" t="n"/>
      <c r="O418" s="40" t="n"/>
      <c r="P418" s="44">
        <f>IF(OR($C418="",$N418&lt;&gt;"Card"),0,ROUND(($J418+$K418)*IFERROR(INDEX(Shows!$G$4:$G$23,MATCH($B418,Shows!$A$4:$A$23,0)),0)+IFERROR(INDEX(Shows!$H$4:$H$23,MATCH($B418,Shows!$A$4:$A$23,0)),0),2))</f>
        <v/>
      </c>
      <c r="Q418" s="44">
        <f>IF($C418="","",$J418+$K418-$P418)</f>
        <v/>
      </c>
      <c r="R418" s="40" t="n"/>
      <c r="S418" s="40" t="n"/>
      <c r="T418" s="40" t="n"/>
    </row>
    <row r="419">
      <c r="A419" s="48" t="n"/>
      <c r="B419" s="34" t="n"/>
      <c r="C419" s="34" t="n"/>
      <c r="D419" s="15">
        <f>IF($C419="","",IFERROR(INDEX(Inventory!$B$4:$B$253,MATCH($C419,Inventory!$A$4:$A$253,0))&amp;" "&amp;INDEX(Inventory!$C$4:$C$253,MATCH($C419,Inventory!$A$4:$A$253,0)),"SKU not in Inventory"))</f>
        <v/>
      </c>
      <c r="E419" s="36" t="n"/>
      <c r="F419" s="35" t="n"/>
      <c r="G419" s="35" t="n"/>
      <c r="H419" s="49">
        <f>IF($C419="","",IFERROR(INDEX(Inventory!$H$4:$H$253,MATCH($C419,Inventory!$A$4:$A$253,0)),0))</f>
        <v/>
      </c>
      <c r="I419" s="34" t="n"/>
      <c r="J419" s="38">
        <f>IF($C419="","",MAX(0,$E419*$F419-$G419))</f>
        <v/>
      </c>
      <c r="K419" s="38">
        <f>IF(OR($C419="",$I419="No"),0,ROUND($J419*IFERROR(INDEX(Shows!$F$4:$F$23,MATCH($B419,Shows!$A$4:$A$23,0)),0),2))</f>
        <v/>
      </c>
      <c r="L419" s="38">
        <f>IF($C419="","",$E419*$H419)</f>
        <v/>
      </c>
      <c r="M419" s="38">
        <f>IF($C419="","",$J419-$L419-$P419)</f>
        <v/>
      </c>
      <c r="N419" s="34" t="n"/>
      <c r="O419" s="34" t="n"/>
      <c r="P419" s="38">
        <f>IF(OR($C419="",$N419&lt;&gt;"Card"),0,ROUND(($J419+$K419)*IFERROR(INDEX(Shows!$G$4:$G$23,MATCH($B419,Shows!$A$4:$A$23,0)),0)+IFERROR(INDEX(Shows!$H$4:$H$23,MATCH($B419,Shows!$A$4:$A$23,0)),0),2))</f>
        <v/>
      </c>
      <c r="Q419" s="38">
        <f>IF($C419="","",$J419+$K419-$P419)</f>
        <v/>
      </c>
      <c r="R419" s="34" t="n"/>
      <c r="S419" s="34" t="n"/>
      <c r="T419" s="34" t="n"/>
    </row>
    <row r="420">
      <c r="A420" s="46" t="n"/>
      <c r="B420" s="40" t="n"/>
      <c r="C420" s="40" t="n"/>
      <c r="D420" s="11">
        <f>IF($C420="","",IFERROR(INDEX(Inventory!$B$4:$B$253,MATCH($C420,Inventory!$A$4:$A$253,0))&amp;" "&amp;INDEX(Inventory!$C$4:$C$253,MATCH($C420,Inventory!$A$4:$A$253,0)),"SKU not in Inventory"))</f>
        <v/>
      </c>
      <c r="E420" s="42" t="n"/>
      <c r="F420" s="41" t="n"/>
      <c r="G420" s="41" t="n"/>
      <c r="H420" s="47">
        <f>IF($C420="","",IFERROR(INDEX(Inventory!$H$4:$H$253,MATCH($C420,Inventory!$A$4:$A$253,0)),0))</f>
        <v/>
      </c>
      <c r="I420" s="40" t="n"/>
      <c r="J420" s="44">
        <f>IF($C420="","",MAX(0,$E420*$F420-$G420))</f>
        <v/>
      </c>
      <c r="K420" s="44">
        <f>IF(OR($C420="",$I420="No"),0,ROUND($J420*IFERROR(INDEX(Shows!$F$4:$F$23,MATCH($B420,Shows!$A$4:$A$23,0)),0),2))</f>
        <v/>
      </c>
      <c r="L420" s="44">
        <f>IF($C420="","",$E420*$H420)</f>
        <v/>
      </c>
      <c r="M420" s="44">
        <f>IF($C420="","",$J420-$L420-$P420)</f>
        <v/>
      </c>
      <c r="N420" s="40" t="n"/>
      <c r="O420" s="40" t="n"/>
      <c r="P420" s="44">
        <f>IF(OR($C420="",$N420&lt;&gt;"Card"),0,ROUND(($J420+$K420)*IFERROR(INDEX(Shows!$G$4:$G$23,MATCH($B420,Shows!$A$4:$A$23,0)),0)+IFERROR(INDEX(Shows!$H$4:$H$23,MATCH($B420,Shows!$A$4:$A$23,0)),0),2))</f>
        <v/>
      </c>
      <c r="Q420" s="44">
        <f>IF($C420="","",$J420+$K420-$P420)</f>
        <v/>
      </c>
      <c r="R420" s="40" t="n"/>
      <c r="S420" s="40" t="n"/>
      <c r="T420" s="40" t="n"/>
    </row>
    <row r="421">
      <c r="A421" s="48" t="n"/>
      <c r="B421" s="34" t="n"/>
      <c r="C421" s="34" t="n"/>
      <c r="D421" s="15">
        <f>IF($C421="","",IFERROR(INDEX(Inventory!$B$4:$B$253,MATCH($C421,Inventory!$A$4:$A$253,0))&amp;" "&amp;INDEX(Inventory!$C$4:$C$253,MATCH($C421,Inventory!$A$4:$A$253,0)),"SKU not in Inventory"))</f>
        <v/>
      </c>
      <c r="E421" s="36" t="n"/>
      <c r="F421" s="35" t="n"/>
      <c r="G421" s="35" t="n"/>
      <c r="H421" s="49">
        <f>IF($C421="","",IFERROR(INDEX(Inventory!$H$4:$H$253,MATCH($C421,Inventory!$A$4:$A$253,0)),0))</f>
        <v/>
      </c>
      <c r="I421" s="34" t="n"/>
      <c r="J421" s="38">
        <f>IF($C421="","",MAX(0,$E421*$F421-$G421))</f>
        <v/>
      </c>
      <c r="K421" s="38">
        <f>IF(OR($C421="",$I421="No"),0,ROUND($J421*IFERROR(INDEX(Shows!$F$4:$F$23,MATCH($B421,Shows!$A$4:$A$23,0)),0),2))</f>
        <v/>
      </c>
      <c r="L421" s="38">
        <f>IF($C421="","",$E421*$H421)</f>
        <v/>
      </c>
      <c r="M421" s="38">
        <f>IF($C421="","",$J421-$L421-$P421)</f>
        <v/>
      </c>
      <c r="N421" s="34" t="n"/>
      <c r="O421" s="34" t="n"/>
      <c r="P421" s="38">
        <f>IF(OR($C421="",$N421&lt;&gt;"Card"),0,ROUND(($J421+$K421)*IFERROR(INDEX(Shows!$G$4:$G$23,MATCH($B421,Shows!$A$4:$A$23,0)),0)+IFERROR(INDEX(Shows!$H$4:$H$23,MATCH($B421,Shows!$A$4:$A$23,0)),0),2))</f>
        <v/>
      </c>
      <c r="Q421" s="38">
        <f>IF($C421="","",$J421+$K421-$P421)</f>
        <v/>
      </c>
      <c r="R421" s="34" t="n"/>
      <c r="S421" s="34" t="n"/>
      <c r="T421" s="34" t="n"/>
    </row>
    <row r="422">
      <c r="A422" s="46" t="n"/>
      <c r="B422" s="40" t="n"/>
      <c r="C422" s="40" t="n"/>
      <c r="D422" s="11">
        <f>IF($C422="","",IFERROR(INDEX(Inventory!$B$4:$B$253,MATCH($C422,Inventory!$A$4:$A$253,0))&amp;" "&amp;INDEX(Inventory!$C$4:$C$253,MATCH($C422,Inventory!$A$4:$A$253,0)),"SKU not in Inventory"))</f>
        <v/>
      </c>
      <c r="E422" s="42" t="n"/>
      <c r="F422" s="41" t="n"/>
      <c r="G422" s="41" t="n"/>
      <c r="H422" s="47">
        <f>IF($C422="","",IFERROR(INDEX(Inventory!$H$4:$H$253,MATCH($C422,Inventory!$A$4:$A$253,0)),0))</f>
        <v/>
      </c>
      <c r="I422" s="40" t="n"/>
      <c r="J422" s="44">
        <f>IF($C422="","",MAX(0,$E422*$F422-$G422))</f>
        <v/>
      </c>
      <c r="K422" s="44">
        <f>IF(OR($C422="",$I422="No"),0,ROUND($J422*IFERROR(INDEX(Shows!$F$4:$F$23,MATCH($B422,Shows!$A$4:$A$23,0)),0),2))</f>
        <v/>
      </c>
      <c r="L422" s="44">
        <f>IF($C422="","",$E422*$H422)</f>
        <v/>
      </c>
      <c r="M422" s="44">
        <f>IF($C422="","",$J422-$L422-$P422)</f>
        <v/>
      </c>
      <c r="N422" s="40" t="n"/>
      <c r="O422" s="40" t="n"/>
      <c r="P422" s="44">
        <f>IF(OR($C422="",$N422&lt;&gt;"Card"),0,ROUND(($J422+$K422)*IFERROR(INDEX(Shows!$G$4:$G$23,MATCH($B422,Shows!$A$4:$A$23,0)),0)+IFERROR(INDEX(Shows!$H$4:$H$23,MATCH($B422,Shows!$A$4:$A$23,0)),0),2))</f>
        <v/>
      </c>
      <c r="Q422" s="44">
        <f>IF($C422="","",$J422+$K422-$P422)</f>
        <v/>
      </c>
      <c r="R422" s="40" t="n"/>
      <c r="S422" s="40" t="n"/>
      <c r="T422" s="40" t="n"/>
    </row>
    <row r="423">
      <c r="A423" s="48" t="n"/>
      <c r="B423" s="34" t="n"/>
      <c r="C423" s="34" t="n"/>
      <c r="D423" s="15">
        <f>IF($C423="","",IFERROR(INDEX(Inventory!$B$4:$B$253,MATCH($C423,Inventory!$A$4:$A$253,0))&amp;" "&amp;INDEX(Inventory!$C$4:$C$253,MATCH($C423,Inventory!$A$4:$A$253,0)),"SKU not in Inventory"))</f>
        <v/>
      </c>
      <c r="E423" s="36" t="n"/>
      <c r="F423" s="35" t="n"/>
      <c r="G423" s="35" t="n"/>
      <c r="H423" s="49">
        <f>IF($C423="","",IFERROR(INDEX(Inventory!$H$4:$H$253,MATCH($C423,Inventory!$A$4:$A$253,0)),0))</f>
        <v/>
      </c>
      <c r="I423" s="34" t="n"/>
      <c r="J423" s="38">
        <f>IF($C423="","",MAX(0,$E423*$F423-$G423))</f>
        <v/>
      </c>
      <c r="K423" s="38">
        <f>IF(OR($C423="",$I423="No"),0,ROUND($J423*IFERROR(INDEX(Shows!$F$4:$F$23,MATCH($B423,Shows!$A$4:$A$23,0)),0),2))</f>
        <v/>
      </c>
      <c r="L423" s="38">
        <f>IF($C423="","",$E423*$H423)</f>
        <v/>
      </c>
      <c r="M423" s="38">
        <f>IF($C423="","",$J423-$L423-$P423)</f>
        <v/>
      </c>
      <c r="N423" s="34" t="n"/>
      <c r="O423" s="34" t="n"/>
      <c r="P423" s="38">
        <f>IF(OR($C423="",$N423&lt;&gt;"Card"),0,ROUND(($J423+$K423)*IFERROR(INDEX(Shows!$G$4:$G$23,MATCH($B423,Shows!$A$4:$A$23,0)),0)+IFERROR(INDEX(Shows!$H$4:$H$23,MATCH($B423,Shows!$A$4:$A$23,0)),0),2))</f>
        <v/>
      </c>
      <c r="Q423" s="38">
        <f>IF($C423="","",$J423+$K423-$P423)</f>
        <v/>
      </c>
      <c r="R423" s="34" t="n"/>
      <c r="S423" s="34" t="n"/>
      <c r="T423" s="34" t="n"/>
    </row>
    <row r="424">
      <c r="A424" s="46" t="n"/>
      <c r="B424" s="40" t="n"/>
      <c r="C424" s="40" t="n"/>
      <c r="D424" s="11">
        <f>IF($C424="","",IFERROR(INDEX(Inventory!$B$4:$B$253,MATCH($C424,Inventory!$A$4:$A$253,0))&amp;" "&amp;INDEX(Inventory!$C$4:$C$253,MATCH($C424,Inventory!$A$4:$A$253,0)),"SKU not in Inventory"))</f>
        <v/>
      </c>
      <c r="E424" s="42" t="n"/>
      <c r="F424" s="41" t="n"/>
      <c r="G424" s="41" t="n"/>
      <c r="H424" s="47">
        <f>IF($C424="","",IFERROR(INDEX(Inventory!$H$4:$H$253,MATCH($C424,Inventory!$A$4:$A$253,0)),0))</f>
        <v/>
      </c>
      <c r="I424" s="40" t="n"/>
      <c r="J424" s="44">
        <f>IF($C424="","",MAX(0,$E424*$F424-$G424))</f>
        <v/>
      </c>
      <c r="K424" s="44">
        <f>IF(OR($C424="",$I424="No"),0,ROUND($J424*IFERROR(INDEX(Shows!$F$4:$F$23,MATCH($B424,Shows!$A$4:$A$23,0)),0),2))</f>
        <v/>
      </c>
      <c r="L424" s="44">
        <f>IF($C424="","",$E424*$H424)</f>
        <v/>
      </c>
      <c r="M424" s="44">
        <f>IF($C424="","",$J424-$L424-$P424)</f>
        <v/>
      </c>
      <c r="N424" s="40" t="n"/>
      <c r="O424" s="40" t="n"/>
      <c r="P424" s="44">
        <f>IF(OR($C424="",$N424&lt;&gt;"Card"),0,ROUND(($J424+$K424)*IFERROR(INDEX(Shows!$G$4:$G$23,MATCH($B424,Shows!$A$4:$A$23,0)),0)+IFERROR(INDEX(Shows!$H$4:$H$23,MATCH($B424,Shows!$A$4:$A$23,0)),0),2))</f>
        <v/>
      </c>
      <c r="Q424" s="44">
        <f>IF($C424="","",$J424+$K424-$P424)</f>
        <v/>
      </c>
      <c r="R424" s="40" t="n"/>
      <c r="S424" s="40" t="n"/>
      <c r="T424" s="40" t="n"/>
    </row>
    <row r="425">
      <c r="A425" s="48" t="n"/>
      <c r="B425" s="34" t="n"/>
      <c r="C425" s="34" t="n"/>
      <c r="D425" s="15">
        <f>IF($C425="","",IFERROR(INDEX(Inventory!$B$4:$B$253,MATCH($C425,Inventory!$A$4:$A$253,0))&amp;" "&amp;INDEX(Inventory!$C$4:$C$253,MATCH($C425,Inventory!$A$4:$A$253,0)),"SKU not in Inventory"))</f>
        <v/>
      </c>
      <c r="E425" s="36" t="n"/>
      <c r="F425" s="35" t="n"/>
      <c r="G425" s="35" t="n"/>
      <c r="H425" s="49">
        <f>IF($C425="","",IFERROR(INDEX(Inventory!$H$4:$H$253,MATCH($C425,Inventory!$A$4:$A$253,0)),0))</f>
        <v/>
      </c>
      <c r="I425" s="34" t="n"/>
      <c r="J425" s="38">
        <f>IF($C425="","",MAX(0,$E425*$F425-$G425))</f>
        <v/>
      </c>
      <c r="K425" s="38">
        <f>IF(OR($C425="",$I425="No"),0,ROUND($J425*IFERROR(INDEX(Shows!$F$4:$F$23,MATCH($B425,Shows!$A$4:$A$23,0)),0),2))</f>
        <v/>
      </c>
      <c r="L425" s="38">
        <f>IF($C425="","",$E425*$H425)</f>
        <v/>
      </c>
      <c r="M425" s="38">
        <f>IF($C425="","",$J425-$L425-$P425)</f>
        <v/>
      </c>
      <c r="N425" s="34" t="n"/>
      <c r="O425" s="34" t="n"/>
      <c r="P425" s="38">
        <f>IF(OR($C425="",$N425&lt;&gt;"Card"),0,ROUND(($J425+$K425)*IFERROR(INDEX(Shows!$G$4:$G$23,MATCH($B425,Shows!$A$4:$A$23,0)),0)+IFERROR(INDEX(Shows!$H$4:$H$23,MATCH($B425,Shows!$A$4:$A$23,0)),0),2))</f>
        <v/>
      </c>
      <c r="Q425" s="38">
        <f>IF($C425="","",$J425+$K425-$P425)</f>
        <v/>
      </c>
      <c r="R425" s="34" t="n"/>
      <c r="S425" s="34" t="n"/>
      <c r="T425" s="34" t="n"/>
    </row>
    <row r="426">
      <c r="A426" s="46" t="n"/>
      <c r="B426" s="40" t="n"/>
      <c r="C426" s="40" t="n"/>
      <c r="D426" s="11">
        <f>IF($C426="","",IFERROR(INDEX(Inventory!$B$4:$B$253,MATCH($C426,Inventory!$A$4:$A$253,0))&amp;" "&amp;INDEX(Inventory!$C$4:$C$253,MATCH($C426,Inventory!$A$4:$A$253,0)),"SKU not in Inventory"))</f>
        <v/>
      </c>
      <c r="E426" s="42" t="n"/>
      <c r="F426" s="41" t="n"/>
      <c r="G426" s="41" t="n"/>
      <c r="H426" s="47">
        <f>IF($C426="","",IFERROR(INDEX(Inventory!$H$4:$H$253,MATCH($C426,Inventory!$A$4:$A$253,0)),0))</f>
        <v/>
      </c>
      <c r="I426" s="40" t="n"/>
      <c r="J426" s="44">
        <f>IF($C426="","",MAX(0,$E426*$F426-$G426))</f>
        <v/>
      </c>
      <c r="K426" s="44">
        <f>IF(OR($C426="",$I426="No"),0,ROUND($J426*IFERROR(INDEX(Shows!$F$4:$F$23,MATCH($B426,Shows!$A$4:$A$23,0)),0),2))</f>
        <v/>
      </c>
      <c r="L426" s="44">
        <f>IF($C426="","",$E426*$H426)</f>
        <v/>
      </c>
      <c r="M426" s="44">
        <f>IF($C426="","",$J426-$L426-$P426)</f>
        <v/>
      </c>
      <c r="N426" s="40" t="n"/>
      <c r="O426" s="40" t="n"/>
      <c r="P426" s="44">
        <f>IF(OR($C426="",$N426&lt;&gt;"Card"),0,ROUND(($J426+$K426)*IFERROR(INDEX(Shows!$G$4:$G$23,MATCH($B426,Shows!$A$4:$A$23,0)),0)+IFERROR(INDEX(Shows!$H$4:$H$23,MATCH($B426,Shows!$A$4:$A$23,0)),0),2))</f>
        <v/>
      </c>
      <c r="Q426" s="44">
        <f>IF($C426="","",$J426+$K426-$P426)</f>
        <v/>
      </c>
      <c r="R426" s="40" t="n"/>
      <c r="S426" s="40" t="n"/>
      <c r="T426" s="40" t="n"/>
    </row>
    <row r="427">
      <c r="A427" s="48" t="n"/>
      <c r="B427" s="34" t="n"/>
      <c r="C427" s="34" t="n"/>
      <c r="D427" s="15">
        <f>IF($C427="","",IFERROR(INDEX(Inventory!$B$4:$B$253,MATCH($C427,Inventory!$A$4:$A$253,0))&amp;" "&amp;INDEX(Inventory!$C$4:$C$253,MATCH($C427,Inventory!$A$4:$A$253,0)),"SKU not in Inventory"))</f>
        <v/>
      </c>
      <c r="E427" s="36" t="n"/>
      <c r="F427" s="35" t="n"/>
      <c r="G427" s="35" t="n"/>
      <c r="H427" s="49">
        <f>IF($C427="","",IFERROR(INDEX(Inventory!$H$4:$H$253,MATCH($C427,Inventory!$A$4:$A$253,0)),0))</f>
        <v/>
      </c>
      <c r="I427" s="34" t="n"/>
      <c r="J427" s="38">
        <f>IF($C427="","",MAX(0,$E427*$F427-$G427))</f>
        <v/>
      </c>
      <c r="K427" s="38">
        <f>IF(OR($C427="",$I427="No"),0,ROUND($J427*IFERROR(INDEX(Shows!$F$4:$F$23,MATCH($B427,Shows!$A$4:$A$23,0)),0),2))</f>
        <v/>
      </c>
      <c r="L427" s="38">
        <f>IF($C427="","",$E427*$H427)</f>
        <v/>
      </c>
      <c r="M427" s="38">
        <f>IF($C427="","",$J427-$L427-$P427)</f>
        <v/>
      </c>
      <c r="N427" s="34" t="n"/>
      <c r="O427" s="34" t="n"/>
      <c r="P427" s="38">
        <f>IF(OR($C427="",$N427&lt;&gt;"Card"),0,ROUND(($J427+$K427)*IFERROR(INDEX(Shows!$G$4:$G$23,MATCH($B427,Shows!$A$4:$A$23,0)),0)+IFERROR(INDEX(Shows!$H$4:$H$23,MATCH($B427,Shows!$A$4:$A$23,0)),0),2))</f>
        <v/>
      </c>
      <c r="Q427" s="38">
        <f>IF($C427="","",$J427+$K427-$P427)</f>
        <v/>
      </c>
      <c r="R427" s="34" t="n"/>
      <c r="S427" s="34" t="n"/>
      <c r="T427" s="34" t="n"/>
    </row>
    <row r="428">
      <c r="A428" s="46" t="n"/>
      <c r="B428" s="40" t="n"/>
      <c r="C428" s="40" t="n"/>
      <c r="D428" s="11">
        <f>IF($C428="","",IFERROR(INDEX(Inventory!$B$4:$B$253,MATCH($C428,Inventory!$A$4:$A$253,0))&amp;" "&amp;INDEX(Inventory!$C$4:$C$253,MATCH($C428,Inventory!$A$4:$A$253,0)),"SKU not in Inventory"))</f>
        <v/>
      </c>
      <c r="E428" s="42" t="n"/>
      <c r="F428" s="41" t="n"/>
      <c r="G428" s="41" t="n"/>
      <c r="H428" s="47">
        <f>IF($C428="","",IFERROR(INDEX(Inventory!$H$4:$H$253,MATCH($C428,Inventory!$A$4:$A$253,0)),0))</f>
        <v/>
      </c>
      <c r="I428" s="40" t="n"/>
      <c r="J428" s="44">
        <f>IF($C428="","",MAX(0,$E428*$F428-$G428))</f>
        <v/>
      </c>
      <c r="K428" s="44">
        <f>IF(OR($C428="",$I428="No"),0,ROUND($J428*IFERROR(INDEX(Shows!$F$4:$F$23,MATCH($B428,Shows!$A$4:$A$23,0)),0),2))</f>
        <v/>
      </c>
      <c r="L428" s="44">
        <f>IF($C428="","",$E428*$H428)</f>
        <v/>
      </c>
      <c r="M428" s="44">
        <f>IF($C428="","",$J428-$L428-$P428)</f>
        <v/>
      </c>
      <c r="N428" s="40" t="n"/>
      <c r="O428" s="40" t="n"/>
      <c r="P428" s="44">
        <f>IF(OR($C428="",$N428&lt;&gt;"Card"),0,ROUND(($J428+$K428)*IFERROR(INDEX(Shows!$G$4:$G$23,MATCH($B428,Shows!$A$4:$A$23,0)),0)+IFERROR(INDEX(Shows!$H$4:$H$23,MATCH($B428,Shows!$A$4:$A$23,0)),0),2))</f>
        <v/>
      </c>
      <c r="Q428" s="44">
        <f>IF($C428="","",$J428+$K428-$P428)</f>
        <v/>
      </c>
      <c r="R428" s="40" t="n"/>
      <c r="S428" s="40" t="n"/>
      <c r="T428" s="40" t="n"/>
    </row>
    <row r="429">
      <c r="A429" s="48" t="n"/>
      <c r="B429" s="34" t="n"/>
      <c r="C429" s="34" t="n"/>
      <c r="D429" s="15">
        <f>IF($C429="","",IFERROR(INDEX(Inventory!$B$4:$B$253,MATCH($C429,Inventory!$A$4:$A$253,0))&amp;" "&amp;INDEX(Inventory!$C$4:$C$253,MATCH($C429,Inventory!$A$4:$A$253,0)),"SKU not in Inventory"))</f>
        <v/>
      </c>
      <c r="E429" s="36" t="n"/>
      <c r="F429" s="35" t="n"/>
      <c r="G429" s="35" t="n"/>
      <c r="H429" s="49">
        <f>IF($C429="","",IFERROR(INDEX(Inventory!$H$4:$H$253,MATCH($C429,Inventory!$A$4:$A$253,0)),0))</f>
        <v/>
      </c>
      <c r="I429" s="34" t="n"/>
      <c r="J429" s="38">
        <f>IF($C429="","",MAX(0,$E429*$F429-$G429))</f>
        <v/>
      </c>
      <c r="K429" s="38">
        <f>IF(OR($C429="",$I429="No"),0,ROUND($J429*IFERROR(INDEX(Shows!$F$4:$F$23,MATCH($B429,Shows!$A$4:$A$23,0)),0),2))</f>
        <v/>
      </c>
      <c r="L429" s="38">
        <f>IF($C429="","",$E429*$H429)</f>
        <v/>
      </c>
      <c r="M429" s="38">
        <f>IF($C429="","",$J429-$L429-$P429)</f>
        <v/>
      </c>
      <c r="N429" s="34" t="n"/>
      <c r="O429" s="34" t="n"/>
      <c r="P429" s="38">
        <f>IF(OR($C429="",$N429&lt;&gt;"Card"),0,ROUND(($J429+$K429)*IFERROR(INDEX(Shows!$G$4:$G$23,MATCH($B429,Shows!$A$4:$A$23,0)),0)+IFERROR(INDEX(Shows!$H$4:$H$23,MATCH($B429,Shows!$A$4:$A$23,0)),0),2))</f>
        <v/>
      </c>
      <c r="Q429" s="38">
        <f>IF($C429="","",$J429+$K429-$P429)</f>
        <v/>
      </c>
      <c r="R429" s="34" t="n"/>
      <c r="S429" s="34" t="n"/>
      <c r="T429" s="34" t="n"/>
    </row>
    <row r="430">
      <c r="A430" s="46" t="n"/>
      <c r="B430" s="40" t="n"/>
      <c r="C430" s="40" t="n"/>
      <c r="D430" s="11">
        <f>IF($C430="","",IFERROR(INDEX(Inventory!$B$4:$B$253,MATCH($C430,Inventory!$A$4:$A$253,0))&amp;" "&amp;INDEX(Inventory!$C$4:$C$253,MATCH($C430,Inventory!$A$4:$A$253,0)),"SKU not in Inventory"))</f>
        <v/>
      </c>
      <c r="E430" s="42" t="n"/>
      <c r="F430" s="41" t="n"/>
      <c r="G430" s="41" t="n"/>
      <c r="H430" s="47">
        <f>IF($C430="","",IFERROR(INDEX(Inventory!$H$4:$H$253,MATCH($C430,Inventory!$A$4:$A$253,0)),0))</f>
        <v/>
      </c>
      <c r="I430" s="40" t="n"/>
      <c r="J430" s="44">
        <f>IF($C430="","",MAX(0,$E430*$F430-$G430))</f>
        <v/>
      </c>
      <c r="K430" s="44">
        <f>IF(OR($C430="",$I430="No"),0,ROUND($J430*IFERROR(INDEX(Shows!$F$4:$F$23,MATCH($B430,Shows!$A$4:$A$23,0)),0),2))</f>
        <v/>
      </c>
      <c r="L430" s="44">
        <f>IF($C430="","",$E430*$H430)</f>
        <v/>
      </c>
      <c r="M430" s="44">
        <f>IF($C430="","",$J430-$L430-$P430)</f>
        <v/>
      </c>
      <c r="N430" s="40" t="n"/>
      <c r="O430" s="40" t="n"/>
      <c r="P430" s="44">
        <f>IF(OR($C430="",$N430&lt;&gt;"Card"),0,ROUND(($J430+$K430)*IFERROR(INDEX(Shows!$G$4:$G$23,MATCH($B430,Shows!$A$4:$A$23,0)),0)+IFERROR(INDEX(Shows!$H$4:$H$23,MATCH($B430,Shows!$A$4:$A$23,0)),0),2))</f>
        <v/>
      </c>
      <c r="Q430" s="44">
        <f>IF($C430="","",$J430+$K430-$P430)</f>
        <v/>
      </c>
      <c r="R430" s="40" t="n"/>
      <c r="S430" s="40" t="n"/>
      <c r="T430" s="40" t="n"/>
    </row>
    <row r="431">
      <c r="A431" s="48" t="n"/>
      <c r="B431" s="34" t="n"/>
      <c r="C431" s="34" t="n"/>
      <c r="D431" s="15">
        <f>IF($C431="","",IFERROR(INDEX(Inventory!$B$4:$B$253,MATCH($C431,Inventory!$A$4:$A$253,0))&amp;" "&amp;INDEX(Inventory!$C$4:$C$253,MATCH($C431,Inventory!$A$4:$A$253,0)),"SKU not in Inventory"))</f>
        <v/>
      </c>
      <c r="E431" s="36" t="n"/>
      <c r="F431" s="35" t="n"/>
      <c r="G431" s="35" t="n"/>
      <c r="H431" s="49">
        <f>IF($C431="","",IFERROR(INDEX(Inventory!$H$4:$H$253,MATCH($C431,Inventory!$A$4:$A$253,0)),0))</f>
        <v/>
      </c>
      <c r="I431" s="34" t="n"/>
      <c r="J431" s="38">
        <f>IF($C431="","",MAX(0,$E431*$F431-$G431))</f>
        <v/>
      </c>
      <c r="K431" s="38">
        <f>IF(OR($C431="",$I431="No"),0,ROUND($J431*IFERROR(INDEX(Shows!$F$4:$F$23,MATCH($B431,Shows!$A$4:$A$23,0)),0),2))</f>
        <v/>
      </c>
      <c r="L431" s="38">
        <f>IF($C431="","",$E431*$H431)</f>
        <v/>
      </c>
      <c r="M431" s="38">
        <f>IF($C431="","",$J431-$L431-$P431)</f>
        <v/>
      </c>
      <c r="N431" s="34" t="n"/>
      <c r="O431" s="34" t="n"/>
      <c r="P431" s="38">
        <f>IF(OR($C431="",$N431&lt;&gt;"Card"),0,ROUND(($J431+$K431)*IFERROR(INDEX(Shows!$G$4:$G$23,MATCH($B431,Shows!$A$4:$A$23,0)),0)+IFERROR(INDEX(Shows!$H$4:$H$23,MATCH($B431,Shows!$A$4:$A$23,0)),0),2))</f>
        <v/>
      </c>
      <c r="Q431" s="38">
        <f>IF($C431="","",$J431+$K431-$P431)</f>
        <v/>
      </c>
      <c r="R431" s="34" t="n"/>
      <c r="S431" s="34" t="n"/>
      <c r="T431" s="34" t="n"/>
    </row>
    <row r="432">
      <c r="A432" s="46" t="n"/>
      <c r="B432" s="40" t="n"/>
      <c r="C432" s="40" t="n"/>
      <c r="D432" s="11">
        <f>IF($C432="","",IFERROR(INDEX(Inventory!$B$4:$B$253,MATCH($C432,Inventory!$A$4:$A$253,0))&amp;" "&amp;INDEX(Inventory!$C$4:$C$253,MATCH($C432,Inventory!$A$4:$A$253,0)),"SKU not in Inventory"))</f>
        <v/>
      </c>
      <c r="E432" s="42" t="n"/>
      <c r="F432" s="41" t="n"/>
      <c r="G432" s="41" t="n"/>
      <c r="H432" s="47">
        <f>IF($C432="","",IFERROR(INDEX(Inventory!$H$4:$H$253,MATCH($C432,Inventory!$A$4:$A$253,0)),0))</f>
        <v/>
      </c>
      <c r="I432" s="40" t="n"/>
      <c r="J432" s="44">
        <f>IF($C432="","",MAX(0,$E432*$F432-$G432))</f>
        <v/>
      </c>
      <c r="K432" s="44">
        <f>IF(OR($C432="",$I432="No"),0,ROUND($J432*IFERROR(INDEX(Shows!$F$4:$F$23,MATCH($B432,Shows!$A$4:$A$23,0)),0),2))</f>
        <v/>
      </c>
      <c r="L432" s="44">
        <f>IF($C432="","",$E432*$H432)</f>
        <v/>
      </c>
      <c r="M432" s="44">
        <f>IF($C432="","",$J432-$L432-$P432)</f>
        <v/>
      </c>
      <c r="N432" s="40" t="n"/>
      <c r="O432" s="40" t="n"/>
      <c r="P432" s="44">
        <f>IF(OR($C432="",$N432&lt;&gt;"Card"),0,ROUND(($J432+$K432)*IFERROR(INDEX(Shows!$G$4:$G$23,MATCH($B432,Shows!$A$4:$A$23,0)),0)+IFERROR(INDEX(Shows!$H$4:$H$23,MATCH($B432,Shows!$A$4:$A$23,0)),0),2))</f>
        <v/>
      </c>
      <c r="Q432" s="44">
        <f>IF($C432="","",$J432+$K432-$P432)</f>
        <v/>
      </c>
      <c r="R432" s="40" t="n"/>
      <c r="S432" s="40" t="n"/>
      <c r="T432" s="40" t="n"/>
    </row>
    <row r="433">
      <c r="A433" s="48" t="n"/>
      <c r="B433" s="34" t="n"/>
      <c r="C433" s="34" t="n"/>
      <c r="D433" s="15">
        <f>IF($C433="","",IFERROR(INDEX(Inventory!$B$4:$B$253,MATCH($C433,Inventory!$A$4:$A$253,0))&amp;" "&amp;INDEX(Inventory!$C$4:$C$253,MATCH($C433,Inventory!$A$4:$A$253,0)),"SKU not in Inventory"))</f>
        <v/>
      </c>
      <c r="E433" s="36" t="n"/>
      <c r="F433" s="35" t="n"/>
      <c r="G433" s="35" t="n"/>
      <c r="H433" s="49">
        <f>IF($C433="","",IFERROR(INDEX(Inventory!$H$4:$H$253,MATCH($C433,Inventory!$A$4:$A$253,0)),0))</f>
        <v/>
      </c>
      <c r="I433" s="34" t="n"/>
      <c r="J433" s="38">
        <f>IF($C433="","",MAX(0,$E433*$F433-$G433))</f>
        <v/>
      </c>
      <c r="K433" s="38">
        <f>IF(OR($C433="",$I433="No"),0,ROUND($J433*IFERROR(INDEX(Shows!$F$4:$F$23,MATCH($B433,Shows!$A$4:$A$23,0)),0),2))</f>
        <v/>
      </c>
      <c r="L433" s="38">
        <f>IF($C433="","",$E433*$H433)</f>
        <v/>
      </c>
      <c r="M433" s="38">
        <f>IF($C433="","",$J433-$L433-$P433)</f>
        <v/>
      </c>
      <c r="N433" s="34" t="n"/>
      <c r="O433" s="34" t="n"/>
      <c r="P433" s="38">
        <f>IF(OR($C433="",$N433&lt;&gt;"Card"),0,ROUND(($J433+$K433)*IFERROR(INDEX(Shows!$G$4:$G$23,MATCH($B433,Shows!$A$4:$A$23,0)),0)+IFERROR(INDEX(Shows!$H$4:$H$23,MATCH($B433,Shows!$A$4:$A$23,0)),0),2))</f>
        <v/>
      </c>
      <c r="Q433" s="38">
        <f>IF($C433="","",$J433+$K433-$P433)</f>
        <v/>
      </c>
      <c r="R433" s="34" t="n"/>
      <c r="S433" s="34" t="n"/>
      <c r="T433" s="34" t="n"/>
    </row>
    <row r="434">
      <c r="A434" s="46" t="n"/>
      <c r="B434" s="40" t="n"/>
      <c r="C434" s="40" t="n"/>
      <c r="D434" s="11">
        <f>IF($C434="","",IFERROR(INDEX(Inventory!$B$4:$B$253,MATCH($C434,Inventory!$A$4:$A$253,0))&amp;" "&amp;INDEX(Inventory!$C$4:$C$253,MATCH($C434,Inventory!$A$4:$A$253,0)),"SKU not in Inventory"))</f>
        <v/>
      </c>
      <c r="E434" s="42" t="n"/>
      <c r="F434" s="41" t="n"/>
      <c r="G434" s="41" t="n"/>
      <c r="H434" s="47">
        <f>IF($C434="","",IFERROR(INDEX(Inventory!$H$4:$H$253,MATCH($C434,Inventory!$A$4:$A$253,0)),0))</f>
        <v/>
      </c>
      <c r="I434" s="40" t="n"/>
      <c r="J434" s="44">
        <f>IF($C434="","",MAX(0,$E434*$F434-$G434))</f>
        <v/>
      </c>
      <c r="K434" s="44">
        <f>IF(OR($C434="",$I434="No"),0,ROUND($J434*IFERROR(INDEX(Shows!$F$4:$F$23,MATCH($B434,Shows!$A$4:$A$23,0)),0),2))</f>
        <v/>
      </c>
      <c r="L434" s="44">
        <f>IF($C434="","",$E434*$H434)</f>
        <v/>
      </c>
      <c r="M434" s="44">
        <f>IF($C434="","",$J434-$L434-$P434)</f>
        <v/>
      </c>
      <c r="N434" s="40" t="n"/>
      <c r="O434" s="40" t="n"/>
      <c r="P434" s="44">
        <f>IF(OR($C434="",$N434&lt;&gt;"Card"),0,ROUND(($J434+$K434)*IFERROR(INDEX(Shows!$G$4:$G$23,MATCH($B434,Shows!$A$4:$A$23,0)),0)+IFERROR(INDEX(Shows!$H$4:$H$23,MATCH($B434,Shows!$A$4:$A$23,0)),0),2))</f>
        <v/>
      </c>
      <c r="Q434" s="44">
        <f>IF($C434="","",$J434+$K434-$P434)</f>
        <v/>
      </c>
      <c r="R434" s="40" t="n"/>
      <c r="S434" s="40" t="n"/>
      <c r="T434" s="40" t="n"/>
    </row>
    <row r="435">
      <c r="A435" s="48" t="n"/>
      <c r="B435" s="34" t="n"/>
      <c r="C435" s="34" t="n"/>
      <c r="D435" s="15">
        <f>IF($C435="","",IFERROR(INDEX(Inventory!$B$4:$B$253,MATCH($C435,Inventory!$A$4:$A$253,0))&amp;" "&amp;INDEX(Inventory!$C$4:$C$253,MATCH($C435,Inventory!$A$4:$A$253,0)),"SKU not in Inventory"))</f>
        <v/>
      </c>
      <c r="E435" s="36" t="n"/>
      <c r="F435" s="35" t="n"/>
      <c r="G435" s="35" t="n"/>
      <c r="H435" s="49">
        <f>IF($C435="","",IFERROR(INDEX(Inventory!$H$4:$H$253,MATCH($C435,Inventory!$A$4:$A$253,0)),0))</f>
        <v/>
      </c>
      <c r="I435" s="34" t="n"/>
      <c r="J435" s="38">
        <f>IF($C435="","",MAX(0,$E435*$F435-$G435))</f>
        <v/>
      </c>
      <c r="K435" s="38">
        <f>IF(OR($C435="",$I435="No"),0,ROUND($J435*IFERROR(INDEX(Shows!$F$4:$F$23,MATCH($B435,Shows!$A$4:$A$23,0)),0),2))</f>
        <v/>
      </c>
      <c r="L435" s="38">
        <f>IF($C435="","",$E435*$H435)</f>
        <v/>
      </c>
      <c r="M435" s="38">
        <f>IF($C435="","",$J435-$L435-$P435)</f>
        <v/>
      </c>
      <c r="N435" s="34" t="n"/>
      <c r="O435" s="34" t="n"/>
      <c r="P435" s="38">
        <f>IF(OR($C435="",$N435&lt;&gt;"Card"),0,ROUND(($J435+$K435)*IFERROR(INDEX(Shows!$G$4:$G$23,MATCH($B435,Shows!$A$4:$A$23,0)),0)+IFERROR(INDEX(Shows!$H$4:$H$23,MATCH($B435,Shows!$A$4:$A$23,0)),0),2))</f>
        <v/>
      </c>
      <c r="Q435" s="38">
        <f>IF($C435="","",$J435+$K435-$P435)</f>
        <v/>
      </c>
      <c r="R435" s="34" t="n"/>
      <c r="S435" s="34" t="n"/>
      <c r="T435" s="34" t="n"/>
    </row>
    <row r="436">
      <c r="A436" s="46" t="n"/>
      <c r="B436" s="40" t="n"/>
      <c r="C436" s="40" t="n"/>
      <c r="D436" s="11">
        <f>IF($C436="","",IFERROR(INDEX(Inventory!$B$4:$B$253,MATCH($C436,Inventory!$A$4:$A$253,0))&amp;" "&amp;INDEX(Inventory!$C$4:$C$253,MATCH($C436,Inventory!$A$4:$A$253,0)),"SKU not in Inventory"))</f>
        <v/>
      </c>
      <c r="E436" s="42" t="n"/>
      <c r="F436" s="41" t="n"/>
      <c r="G436" s="41" t="n"/>
      <c r="H436" s="47">
        <f>IF($C436="","",IFERROR(INDEX(Inventory!$H$4:$H$253,MATCH($C436,Inventory!$A$4:$A$253,0)),0))</f>
        <v/>
      </c>
      <c r="I436" s="40" t="n"/>
      <c r="J436" s="44">
        <f>IF($C436="","",MAX(0,$E436*$F436-$G436))</f>
        <v/>
      </c>
      <c r="K436" s="44">
        <f>IF(OR($C436="",$I436="No"),0,ROUND($J436*IFERROR(INDEX(Shows!$F$4:$F$23,MATCH($B436,Shows!$A$4:$A$23,0)),0),2))</f>
        <v/>
      </c>
      <c r="L436" s="44">
        <f>IF($C436="","",$E436*$H436)</f>
        <v/>
      </c>
      <c r="M436" s="44">
        <f>IF($C436="","",$J436-$L436-$P436)</f>
        <v/>
      </c>
      <c r="N436" s="40" t="n"/>
      <c r="O436" s="40" t="n"/>
      <c r="P436" s="44">
        <f>IF(OR($C436="",$N436&lt;&gt;"Card"),0,ROUND(($J436+$K436)*IFERROR(INDEX(Shows!$G$4:$G$23,MATCH($B436,Shows!$A$4:$A$23,0)),0)+IFERROR(INDEX(Shows!$H$4:$H$23,MATCH($B436,Shows!$A$4:$A$23,0)),0),2))</f>
        <v/>
      </c>
      <c r="Q436" s="44">
        <f>IF($C436="","",$J436+$K436-$P436)</f>
        <v/>
      </c>
      <c r="R436" s="40" t="n"/>
      <c r="S436" s="40" t="n"/>
      <c r="T436" s="40" t="n"/>
    </row>
    <row r="437">
      <c r="A437" s="48" t="n"/>
      <c r="B437" s="34" t="n"/>
      <c r="C437" s="34" t="n"/>
      <c r="D437" s="15">
        <f>IF($C437="","",IFERROR(INDEX(Inventory!$B$4:$B$253,MATCH($C437,Inventory!$A$4:$A$253,0))&amp;" "&amp;INDEX(Inventory!$C$4:$C$253,MATCH($C437,Inventory!$A$4:$A$253,0)),"SKU not in Inventory"))</f>
        <v/>
      </c>
      <c r="E437" s="36" t="n"/>
      <c r="F437" s="35" t="n"/>
      <c r="G437" s="35" t="n"/>
      <c r="H437" s="49">
        <f>IF($C437="","",IFERROR(INDEX(Inventory!$H$4:$H$253,MATCH($C437,Inventory!$A$4:$A$253,0)),0))</f>
        <v/>
      </c>
      <c r="I437" s="34" t="n"/>
      <c r="J437" s="38">
        <f>IF($C437="","",MAX(0,$E437*$F437-$G437))</f>
        <v/>
      </c>
      <c r="K437" s="38">
        <f>IF(OR($C437="",$I437="No"),0,ROUND($J437*IFERROR(INDEX(Shows!$F$4:$F$23,MATCH($B437,Shows!$A$4:$A$23,0)),0),2))</f>
        <v/>
      </c>
      <c r="L437" s="38">
        <f>IF($C437="","",$E437*$H437)</f>
        <v/>
      </c>
      <c r="M437" s="38">
        <f>IF($C437="","",$J437-$L437-$P437)</f>
        <v/>
      </c>
      <c r="N437" s="34" t="n"/>
      <c r="O437" s="34" t="n"/>
      <c r="P437" s="38">
        <f>IF(OR($C437="",$N437&lt;&gt;"Card"),0,ROUND(($J437+$K437)*IFERROR(INDEX(Shows!$G$4:$G$23,MATCH($B437,Shows!$A$4:$A$23,0)),0)+IFERROR(INDEX(Shows!$H$4:$H$23,MATCH($B437,Shows!$A$4:$A$23,0)),0),2))</f>
        <v/>
      </c>
      <c r="Q437" s="38">
        <f>IF($C437="","",$J437+$K437-$P437)</f>
        <v/>
      </c>
      <c r="R437" s="34" t="n"/>
      <c r="S437" s="34" t="n"/>
      <c r="T437" s="34" t="n"/>
    </row>
    <row r="438">
      <c r="A438" s="46" t="n"/>
      <c r="B438" s="40" t="n"/>
      <c r="C438" s="40" t="n"/>
      <c r="D438" s="11">
        <f>IF($C438="","",IFERROR(INDEX(Inventory!$B$4:$B$253,MATCH($C438,Inventory!$A$4:$A$253,0))&amp;" "&amp;INDEX(Inventory!$C$4:$C$253,MATCH($C438,Inventory!$A$4:$A$253,0)),"SKU not in Inventory"))</f>
        <v/>
      </c>
      <c r="E438" s="42" t="n"/>
      <c r="F438" s="41" t="n"/>
      <c r="G438" s="41" t="n"/>
      <c r="H438" s="47">
        <f>IF($C438="","",IFERROR(INDEX(Inventory!$H$4:$H$253,MATCH($C438,Inventory!$A$4:$A$253,0)),0))</f>
        <v/>
      </c>
      <c r="I438" s="40" t="n"/>
      <c r="J438" s="44">
        <f>IF($C438="","",MAX(0,$E438*$F438-$G438))</f>
        <v/>
      </c>
      <c r="K438" s="44">
        <f>IF(OR($C438="",$I438="No"),0,ROUND($J438*IFERROR(INDEX(Shows!$F$4:$F$23,MATCH($B438,Shows!$A$4:$A$23,0)),0),2))</f>
        <v/>
      </c>
      <c r="L438" s="44">
        <f>IF($C438="","",$E438*$H438)</f>
        <v/>
      </c>
      <c r="M438" s="44">
        <f>IF($C438="","",$J438-$L438-$P438)</f>
        <v/>
      </c>
      <c r="N438" s="40" t="n"/>
      <c r="O438" s="40" t="n"/>
      <c r="P438" s="44">
        <f>IF(OR($C438="",$N438&lt;&gt;"Card"),0,ROUND(($J438+$K438)*IFERROR(INDEX(Shows!$G$4:$G$23,MATCH($B438,Shows!$A$4:$A$23,0)),0)+IFERROR(INDEX(Shows!$H$4:$H$23,MATCH($B438,Shows!$A$4:$A$23,0)),0),2))</f>
        <v/>
      </c>
      <c r="Q438" s="44">
        <f>IF($C438="","",$J438+$K438-$P438)</f>
        <v/>
      </c>
      <c r="R438" s="40" t="n"/>
      <c r="S438" s="40" t="n"/>
      <c r="T438" s="40" t="n"/>
    </row>
    <row r="439">
      <c r="A439" s="48" t="n"/>
      <c r="B439" s="34" t="n"/>
      <c r="C439" s="34" t="n"/>
      <c r="D439" s="15">
        <f>IF($C439="","",IFERROR(INDEX(Inventory!$B$4:$B$253,MATCH($C439,Inventory!$A$4:$A$253,0))&amp;" "&amp;INDEX(Inventory!$C$4:$C$253,MATCH($C439,Inventory!$A$4:$A$253,0)),"SKU not in Inventory"))</f>
        <v/>
      </c>
      <c r="E439" s="36" t="n"/>
      <c r="F439" s="35" t="n"/>
      <c r="G439" s="35" t="n"/>
      <c r="H439" s="49">
        <f>IF($C439="","",IFERROR(INDEX(Inventory!$H$4:$H$253,MATCH($C439,Inventory!$A$4:$A$253,0)),0))</f>
        <v/>
      </c>
      <c r="I439" s="34" t="n"/>
      <c r="J439" s="38">
        <f>IF($C439="","",MAX(0,$E439*$F439-$G439))</f>
        <v/>
      </c>
      <c r="K439" s="38">
        <f>IF(OR($C439="",$I439="No"),0,ROUND($J439*IFERROR(INDEX(Shows!$F$4:$F$23,MATCH($B439,Shows!$A$4:$A$23,0)),0),2))</f>
        <v/>
      </c>
      <c r="L439" s="38">
        <f>IF($C439="","",$E439*$H439)</f>
        <v/>
      </c>
      <c r="M439" s="38">
        <f>IF($C439="","",$J439-$L439-$P439)</f>
        <v/>
      </c>
      <c r="N439" s="34" t="n"/>
      <c r="O439" s="34" t="n"/>
      <c r="P439" s="38">
        <f>IF(OR($C439="",$N439&lt;&gt;"Card"),0,ROUND(($J439+$K439)*IFERROR(INDEX(Shows!$G$4:$G$23,MATCH($B439,Shows!$A$4:$A$23,0)),0)+IFERROR(INDEX(Shows!$H$4:$H$23,MATCH($B439,Shows!$A$4:$A$23,0)),0),2))</f>
        <v/>
      </c>
      <c r="Q439" s="38">
        <f>IF($C439="","",$J439+$K439-$P439)</f>
        <v/>
      </c>
      <c r="R439" s="34" t="n"/>
      <c r="S439" s="34" t="n"/>
      <c r="T439" s="34" t="n"/>
    </row>
    <row r="440">
      <c r="A440" s="46" t="n"/>
      <c r="B440" s="40" t="n"/>
      <c r="C440" s="40" t="n"/>
      <c r="D440" s="11">
        <f>IF($C440="","",IFERROR(INDEX(Inventory!$B$4:$B$253,MATCH($C440,Inventory!$A$4:$A$253,0))&amp;" "&amp;INDEX(Inventory!$C$4:$C$253,MATCH($C440,Inventory!$A$4:$A$253,0)),"SKU not in Inventory"))</f>
        <v/>
      </c>
      <c r="E440" s="42" t="n"/>
      <c r="F440" s="41" t="n"/>
      <c r="G440" s="41" t="n"/>
      <c r="H440" s="47">
        <f>IF($C440="","",IFERROR(INDEX(Inventory!$H$4:$H$253,MATCH($C440,Inventory!$A$4:$A$253,0)),0))</f>
        <v/>
      </c>
      <c r="I440" s="40" t="n"/>
      <c r="J440" s="44">
        <f>IF($C440="","",MAX(0,$E440*$F440-$G440))</f>
        <v/>
      </c>
      <c r="K440" s="44">
        <f>IF(OR($C440="",$I440="No"),0,ROUND($J440*IFERROR(INDEX(Shows!$F$4:$F$23,MATCH($B440,Shows!$A$4:$A$23,0)),0),2))</f>
        <v/>
      </c>
      <c r="L440" s="44">
        <f>IF($C440="","",$E440*$H440)</f>
        <v/>
      </c>
      <c r="M440" s="44">
        <f>IF($C440="","",$J440-$L440-$P440)</f>
        <v/>
      </c>
      <c r="N440" s="40" t="n"/>
      <c r="O440" s="40" t="n"/>
      <c r="P440" s="44">
        <f>IF(OR($C440="",$N440&lt;&gt;"Card"),0,ROUND(($J440+$K440)*IFERROR(INDEX(Shows!$G$4:$G$23,MATCH($B440,Shows!$A$4:$A$23,0)),0)+IFERROR(INDEX(Shows!$H$4:$H$23,MATCH($B440,Shows!$A$4:$A$23,0)),0),2))</f>
        <v/>
      </c>
      <c r="Q440" s="44">
        <f>IF($C440="","",$J440+$K440-$P440)</f>
        <v/>
      </c>
      <c r="R440" s="40" t="n"/>
      <c r="S440" s="40" t="n"/>
      <c r="T440" s="40" t="n"/>
    </row>
    <row r="441">
      <c r="A441" s="48" t="n"/>
      <c r="B441" s="34" t="n"/>
      <c r="C441" s="34" t="n"/>
      <c r="D441" s="15">
        <f>IF($C441="","",IFERROR(INDEX(Inventory!$B$4:$B$253,MATCH($C441,Inventory!$A$4:$A$253,0))&amp;" "&amp;INDEX(Inventory!$C$4:$C$253,MATCH($C441,Inventory!$A$4:$A$253,0)),"SKU not in Inventory"))</f>
        <v/>
      </c>
      <c r="E441" s="36" t="n"/>
      <c r="F441" s="35" t="n"/>
      <c r="G441" s="35" t="n"/>
      <c r="H441" s="49">
        <f>IF($C441="","",IFERROR(INDEX(Inventory!$H$4:$H$253,MATCH($C441,Inventory!$A$4:$A$253,0)),0))</f>
        <v/>
      </c>
      <c r="I441" s="34" t="n"/>
      <c r="J441" s="38">
        <f>IF($C441="","",MAX(0,$E441*$F441-$G441))</f>
        <v/>
      </c>
      <c r="K441" s="38">
        <f>IF(OR($C441="",$I441="No"),0,ROUND($J441*IFERROR(INDEX(Shows!$F$4:$F$23,MATCH($B441,Shows!$A$4:$A$23,0)),0),2))</f>
        <v/>
      </c>
      <c r="L441" s="38">
        <f>IF($C441="","",$E441*$H441)</f>
        <v/>
      </c>
      <c r="M441" s="38">
        <f>IF($C441="","",$J441-$L441-$P441)</f>
        <v/>
      </c>
      <c r="N441" s="34" t="n"/>
      <c r="O441" s="34" t="n"/>
      <c r="P441" s="38">
        <f>IF(OR($C441="",$N441&lt;&gt;"Card"),0,ROUND(($J441+$K441)*IFERROR(INDEX(Shows!$G$4:$G$23,MATCH($B441,Shows!$A$4:$A$23,0)),0)+IFERROR(INDEX(Shows!$H$4:$H$23,MATCH($B441,Shows!$A$4:$A$23,0)),0),2))</f>
        <v/>
      </c>
      <c r="Q441" s="38">
        <f>IF($C441="","",$J441+$K441-$P441)</f>
        <v/>
      </c>
      <c r="R441" s="34" t="n"/>
      <c r="S441" s="34" t="n"/>
      <c r="T441" s="34" t="n"/>
    </row>
    <row r="442">
      <c r="A442" s="46" t="n"/>
      <c r="B442" s="40" t="n"/>
      <c r="C442" s="40" t="n"/>
      <c r="D442" s="11">
        <f>IF($C442="","",IFERROR(INDEX(Inventory!$B$4:$B$253,MATCH($C442,Inventory!$A$4:$A$253,0))&amp;" "&amp;INDEX(Inventory!$C$4:$C$253,MATCH($C442,Inventory!$A$4:$A$253,0)),"SKU not in Inventory"))</f>
        <v/>
      </c>
      <c r="E442" s="42" t="n"/>
      <c r="F442" s="41" t="n"/>
      <c r="G442" s="41" t="n"/>
      <c r="H442" s="47">
        <f>IF($C442="","",IFERROR(INDEX(Inventory!$H$4:$H$253,MATCH($C442,Inventory!$A$4:$A$253,0)),0))</f>
        <v/>
      </c>
      <c r="I442" s="40" t="n"/>
      <c r="J442" s="44">
        <f>IF($C442="","",MAX(0,$E442*$F442-$G442))</f>
        <v/>
      </c>
      <c r="K442" s="44">
        <f>IF(OR($C442="",$I442="No"),0,ROUND($J442*IFERROR(INDEX(Shows!$F$4:$F$23,MATCH($B442,Shows!$A$4:$A$23,0)),0),2))</f>
        <v/>
      </c>
      <c r="L442" s="44">
        <f>IF($C442="","",$E442*$H442)</f>
        <v/>
      </c>
      <c r="M442" s="44">
        <f>IF($C442="","",$J442-$L442-$P442)</f>
        <v/>
      </c>
      <c r="N442" s="40" t="n"/>
      <c r="O442" s="40" t="n"/>
      <c r="P442" s="44">
        <f>IF(OR($C442="",$N442&lt;&gt;"Card"),0,ROUND(($J442+$K442)*IFERROR(INDEX(Shows!$G$4:$G$23,MATCH($B442,Shows!$A$4:$A$23,0)),0)+IFERROR(INDEX(Shows!$H$4:$H$23,MATCH($B442,Shows!$A$4:$A$23,0)),0),2))</f>
        <v/>
      </c>
      <c r="Q442" s="44">
        <f>IF($C442="","",$J442+$K442-$P442)</f>
        <v/>
      </c>
      <c r="R442" s="40" t="n"/>
      <c r="S442" s="40" t="n"/>
      <c r="T442" s="40" t="n"/>
    </row>
    <row r="443">
      <c r="A443" s="48" t="n"/>
      <c r="B443" s="34" t="n"/>
      <c r="C443" s="34" t="n"/>
      <c r="D443" s="15">
        <f>IF($C443="","",IFERROR(INDEX(Inventory!$B$4:$B$253,MATCH($C443,Inventory!$A$4:$A$253,0))&amp;" "&amp;INDEX(Inventory!$C$4:$C$253,MATCH($C443,Inventory!$A$4:$A$253,0)),"SKU not in Inventory"))</f>
        <v/>
      </c>
      <c r="E443" s="36" t="n"/>
      <c r="F443" s="35" t="n"/>
      <c r="G443" s="35" t="n"/>
      <c r="H443" s="49">
        <f>IF($C443="","",IFERROR(INDEX(Inventory!$H$4:$H$253,MATCH($C443,Inventory!$A$4:$A$253,0)),0))</f>
        <v/>
      </c>
      <c r="I443" s="34" t="n"/>
      <c r="J443" s="38">
        <f>IF($C443="","",MAX(0,$E443*$F443-$G443))</f>
        <v/>
      </c>
      <c r="K443" s="38">
        <f>IF(OR($C443="",$I443="No"),0,ROUND($J443*IFERROR(INDEX(Shows!$F$4:$F$23,MATCH($B443,Shows!$A$4:$A$23,0)),0),2))</f>
        <v/>
      </c>
      <c r="L443" s="38">
        <f>IF($C443="","",$E443*$H443)</f>
        <v/>
      </c>
      <c r="M443" s="38">
        <f>IF($C443="","",$J443-$L443-$P443)</f>
        <v/>
      </c>
      <c r="N443" s="34" t="n"/>
      <c r="O443" s="34" t="n"/>
      <c r="P443" s="38">
        <f>IF(OR($C443="",$N443&lt;&gt;"Card"),0,ROUND(($J443+$K443)*IFERROR(INDEX(Shows!$G$4:$G$23,MATCH($B443,Shows!$A$4:$A$23,0)),0)+IFERROR(INDEX(Shows!$H$4:$H$23,MATCH($B443,Shows!$A$4:$A$23,0)),0),2))</f>
        <v/>
      </c>
      <c r="Q443" s="38">
        <f>IF($C443="","",$J443+$K443-$P443)</f>
        <v/>
      </c>
      <c r="R443" s="34" t="n"/>
      <c r="S443" s="34" t="n"/>
      <c r="T443" s="34" t="n"/>
    </row>
    <row r="444">
      <c r="A444" s="46" t="n"/>
      <c r="B444" s="40" t="n"/>
      <c r="C444" s="40" t="n"/>
      <c r="D444" s="11">
        <f>IF($C444="","",IFERROR(INDEX(Inventory!$B$4:$B$253,MATCH($C444,Inventory!$A$4:$A$253,0))&amp;" "&amp;INDEX(Inventory!$C$4:$C$253,MATCH($C444,Inventory!$A$4:$A$253,0)),"SKU not in Inventory"))</f>
        <v/>
      </c>
      <c r="E444" s="42" t="n"/>
      <c r="F444" s="41" t="n"/>
      <c r="G444" s="41" t="n"/>
      <c r="H444" s="47">
        <f>IF($C444="","",IFERROR(INDEX(Inventory!$H$4:$H$253,MATCH($C444,Inventory!$A$4:$A$253,0)),0))</f>
        <v/>
      </c>
      <c r="I444" s="40" t="n"/>
      <c r="J444" s="44">
        <f>IF($C444="","",MAX(0,$E444*$F444-$G444))</f>
        <v/>
      </c>
      <c r="K444" s="44">
        <f>IF(OR($C444="",$I444="No"),0,ROUND($J444*IFERROR(INDEX(Shows!$F$4:$F$23,MATCH($B444,Shows!$A$4:$A$23,0)),0),2))</f>
        <v/>
      </c>
      <c r="L444" s="44">
        <f>IF($C444="","",$E444*$H444)</f>
        <v/>
      </c>
      <c r="M444" s="44">
        <f>IF($C444="","",$J444-$L444-$P444)</f>
        <v/>
      </c>
      <c r="N444" s="40" t="n"/>
      <c r="O444" s="40" t="n"/>
      <c r="P444" s="44">
        <f>IF(OR($C444="",$N444&lt;&gt;"Card"),0,ROUND(($J444+$K444)*IFERROR(INDEX(Shows!$G$4:$G$23,MATCH($B444,Shows!$A$4:$A$23,0)),0)+IFERROR(INDEX(Shows!$H$4:$H$23,MATCH($B444,Shows!$A$4:$A$23,0)),0),2))</f>
        <v/>
      </c>
      <c r="Q444" s="44">
        <f>IF($C444="","",$J444+$K444-$P444)</f>
        <v/>
      </c>
      <c r="R444" s="40" t="n"/>
      <c r="S444" s="40" t="n"/>
      <c r="T444" s="40" t="n"/>
    </row>
    <row r="445">
      <c r="A445" s="48" t="n"/>
      <c r="B445" s="34" t="n"/>
      <c r="C445" s="34" t="n"/>
      <c r="D445" s="15">
        <f>IF($C445="","",IFERROR(INDEX(Inventory!$B$4:$B$253,MATCH($C445,Inventory!$A$4:$A$253,0))&amp;" "&amp;INDEX(Inventory!$C$4:$C$253,MATCH($C445,Inventory!$A$4:$A$253,0)),"SKU not in Inventory"))</f>
        <v/>
      </c>
      <c r="E445" s="36" t="n"/>
      <c r="F445" s="35" t="n"/>
      <c r="G445" s="35" t="n"/>
      <c r="H445" s="49">
        <f>IF($C445="","",IFERROR(INDEX(Inventory!$H$4:$H$253,MATCH($C445,Inventory!$A$4:$A$253,0)),0))</f>
        <v/>
      </c>
      <c r="I445" s="34" t="n"/>
      <c r="J445" s="38">
        <f>IF($C445="","",MAX(0,$E445*$F445-$G445))</f>
        <v/>
      </c>
      <c r="K445" s="38">
        <f>IF(OR($C445="",$I445="No"),0,ROUND($J445*IFERROR(INDEX(Shows!$F$4:$F$23,MATCH($B445,Shows!$A$4:$A$23,0)),0),2))</f>
        <v/>
      </c>
      <c r="L445" s="38">
        <f>IF($C445="","",$E445*$H445)</f>
        <v/>
      </c>
      <c r="M445" s="38">
        <f>IF($C445="","",$J445-$L445-$P445)</f>
        <v/>
      </c>
      <c r="N445" s="34" t="n"/>
      <c r="O445" s="34" t="n"/>
      <c r="P445" s="38">
        <f>IF(OR($C445="",$N445&lt;&gt;"Card"),0,ROUND(($J445+$K445)*IFERROR(INDEX(Shows!$G$4:$G$23,MATCH($B445,Shows!$A$4:$A$23,0)),0)+IFERROR(INDEX(Shows!$H$4:$H$23,MATCH($B445,Shows!$A$4:$A$23,0)),0),2))</f>
        <v/>
      </c>
      <c r="Q445" s="38">
        <f>IF($C445="","",$J445+$K445-$P445)</f>
        <v/>
      </c>
      <c r="R445" s="34" t="n"/>
      <c r="S445" s="34" t="n"/>
      <c r="T445" s="34" t="n"/>
    </row>
    <row r="446">
      <c r="A446" s="46" t="n"/>
      <c r="B446" s="40" t="n"/>
      <c r="C446" s="40" t="n"/>
      <c r="D446" s="11">
        <f>IF($C446="","",IFERROR(INDEX(Inventory!$B$4:$B$253,MATCH($C446,Inventory!$A$4:$A$253,0))&amp;" "&amp;INDEX(Inventory!$C$4:$C$253,MATCH($C446,Inventory!$A$4:$A$253,0)),"SKU not in Inventory"))</f>
        <v/>
      </c>
      <c r="E446" s="42" t="n"/>
      <c r="F446" s="41" t="n"/>
      <c r="G446" s="41" t="n"/>
      <c r="H446" s="47">
        <f>IF($C446="","",IFERROR(INDEX(Inventory!$H$4:$H$253,MATCH($C446,Inventory!$A$4:$A$253,0)),0))</f>
        <v/>
      </c>
      <c r="I446" s="40" t="n"/>
      <c r="J446" s="44">
        <f>IF($C446="","",MAX(0,$E446*$F446-$G446))</f>
        <v/>
      </c>
      <c r="K446" s="44">
        <f>IF(OR($C446="",$I446="No"),0,ROUND($J446*IFERROR(INDEX(Shows!$F$4:$F$23,MATCH($B446,Shows!$A$4:$A$23,0)),0),2))</f>
        <v/>
      </c>
      <c r="L446" s="44">
        <f>IF($C446="","",$E446*$H446)</f>
        <v/>
      </c>
      <c r="M446" s="44">
        <f>IF($C446="","",$J446-$L446-$P446)</f>
        <v/>
      </c>
      <c r="N446" s="40" t="n"/>
      <c r="O446" s="40" t="n"/>
      <c r="P446" s="44">
        <f>IF(OR($C446="",$N446&lt;&gt;"Card"),0,ROUND(($J446+$K446)*IFERROR(INDEX(Shows!$G$4:$G$23,MATCH($B446,Shows!$A$4:$A$23,0)),0)+IFERROR(INDEX(Shows!$H$4:$H$23,MATCH($B446,Shows!$A$4:$A$23,0)),0),2))</f>
        <v/>
      </c>
      <c r="Q446" s="44">
        <f>IF($C446="","",$J446+$K446-$P446)</f>
        <v/>
      </c>
      <c r="R446" s="40" t="n"/>
      <c r="S446" s="40" t="n"/>
      <c r="T446" s="40" t="n"/>
    </row>
    <row r="447">
      <c r="A447" s="48" t="n"/>
      <c r="B447" s="34" t="n"/>
      <c r="C447" s="34" t="n"/>
      <c r="D447" s="15">
        <f>IF($C447="","",IFERROR(INDEX(Inventory!$B$4:$B$253,MATCH($C447,Inventory!$A$4:$A$253,0))&amp;" "&amp;INDEX(Inventory!$C$4:$C$253,MATCH($C447,Inventory!$A$4:$A$253,0)),"SKU not in Inventory"))</f>
        <v/>
      </c>
      <c r="E447" s="36" t="n"/>
      <c r="F447" s="35" t="n"/>
      <c r="G447" s="35" t="n"/>
      <c r="H447" s="49">
        <f>IF($C447="","",IFERROR(INDEX(Inventory!$H$4:$H$253,MATCH($C447,Inventory!$A$4:$A$253,0)),0))</f>
        <v/>
      </c>
      <c r="I447" s="34" t="n"/>
      <c r="J447" s="38">
        <f>IF($C447="","",MAX(0,$E447*$F447-$G447))</f>
        <v/>
      </c>
      <c r="K447" s="38">
        <f>IF(OR($C447="",$I447="No"),0,ROUND($J447*IFERROR(INDEX(Shows!$F$4:$F$23,MATCH($B447,Shows!$A$4:$A$23,0)),0),2))</f>
        <v/>
      </c>
      <c r="L447" s="38">
        <f>IF($C447="","",$E447*$H447)</f>
        <v/>
      </c>
      <c r="M447" s="38">
        <f>IF($C447="","",$J447-$L447-$P447)</f>
        <v/>
      </c>
      <c r="N447" s="34" t="n"/>
      <c r="O447" s="34" t="n"/>
      <c r="P447" s="38">
        <f>IF(OR($C447="",$N447&lt;&gt;"Card"),0,ROUND(($J447+$K447)*IFERROR(INDEX(Shows!$G$4:$G$23,MATCH($B447,Shows!$A$4:$A$23,0)),0)+IFERROR(INDEX(Shows!$H$4:$H$23,MATCH($B447,Shows!$A$4:$A$23,0)),0),2))</f>
        <v/>
      </c>
      <c r="Q447" s="38">
        <f>IF($C447="","",$J447+$K447-$P447)</f>
        <v/>
      </c>
      <c r="R447" s="34" t="n"/>
      <c r="S447" s="34" t="n"/>
      <c r="T447" s="34" t="n"/>
    </row>
    <row r="448">
      <c r="A448" s="46" t="n"/>
      <c r="B448" s="40" t="n"/>
      <c r="C448" s="40" t="n"/>
      <c r="D448" s="11">
        <f>IF($C448="","",IFERROR(INDEX(Inventory!$B$4:$B$253,MATCH($C448,Inventory!$A$4:$A$253,0))&amp;" "&amp;INDEX(Inventory!$C$4:$C$253,MATCH($C448,Inventory!$A$4:$A$253,0)),"SKU not in Inventory"))</f>
        <v/>
      </c>
      <c r="E448" s="42" t="n"/>
      <c r="F448" s="41" t="n"/>
      <c r="G448" s="41" t="n"/>
      <c r="H448" s="47">
        <f>IF($C448="","",IFERROR(INDEX(Inventory!$H$4:$H$253,MATCH($C448,Inventory!$A$4:$A$253,0)),0))</f>
        <v/>
      </c>
      <c r="I448" s="40" t="n"/>
      <c r="J448" s="44">
        <f>IF($C448="","",MAX(0,$E448*$F448-$G448))</f>
        <v/>
      </c>
      <c r="K448" s="44">
        <f>IF(OR($C448="",$I448="No"),0,ROUND($J448*IFERROR(INDEX(Shows!$F$4:$F$23,MATCH($B448,Shows!$A$4:$A$23,0)),0),2))</f>
        <v/>
      </c>
      <c r="L448" s="44">
        <f>IF($C448="","",$E448*$H448)</f>
        <v/>
      </c>
      <c r="M448" s="44">
        <f>IF($C448="","",$J448-$L448-$P448)</f>
        <v/>
      </c>
      <c r="N448" s="40" t="n"/>
      <c r="O448" s="40" t="n"/>
      <c r="P448" s="44">
        <f>IF(OR($C448="",$N448&lt;&gt;"Card"),0,ROUND(($J448+$K448)*IFERROR(INDEX(Shows!$G$4:$G$23,MATCH($B448,Shows!$A$4:$A$23,0)),0)+IFERROR(INDEX(Shows!$H$4:$H$23,MATCH($B448,Shows!$A$4:$A$23,0)),0),2))</f>
        <v/>
      </c>
      <c r="Q448" s="44">
        <f>IF($C448="","",$J448+$K448-$P448)</f>
        <v/>
      </c>
      <c r="R448" s="40" t="n"/>
      <c r="S448" s="40" t="n"/>
      <c r="T448" s="40" t="n"/>
    </row>
    <row r="449">
      <c r="A449" s="48" t="n"/>
      <c r="B449" s="34" t="n"/>
      <c r="C449" s="34" t="n"/>
      <c r="D449" s="15">
        <f>IF($C449="","",IFERROR(INDEX(Inventory!$B$4:$B$253,MATCH($C449,Inventory!$A$4:$A$253,0))&amp;" "&amp;INDEX(Inventory!$C$4:$C$253,MATCH($C449,Inventory!$A$4:$A$253,0)),"SKU not in Inventory"))</f>
        <v/>
      </c>
      <c r="E449" s="36" t="n"/>
      <c r="F449" s="35" t="n"/>
      <c r="G449" s="35" t="n"/>
      <c r="H449" s="49">
        <f>IF($C449="","",IFERROR(INDEX(Inventory!$H$4:$H$253,MATCH($C449,Inventory!$A$4:$A$253,0)),0))</f>
        <v/>
      </c>
      <c r="I449" s="34" t="n"/>
      <c r="J449" s="38">
        <f>IF($C449="","",MAX(0,$E449*$F449-$G449))</f>
        <v/>
      </c>
      <c r="K449" s="38">
        <f>IF(OR($C449="",$I449="No"),0,ROUND($J449*IFERROR(INDEX(Shows!$F$4:$F$23,MATCH($B449,Shows!$A$4:$A$23,0)),0),2))</f>
        <v/>
      </c>
      <c r="L449" s="38">
        <f>IF($C449="","",$E449*$H449)</f>
        <v/>
      </c>
      <c r="M449" s="38">
        <f>IF($C449="","",$J449-$L449-$P449)</f>
        <v/>
      </c>
      <c r="N449" s="34" t="n"/>
      <c r="O449" s="34" t="n"/>
      <c r="P449" s="38">
        <f>IF(OR($C449="",$N449&lt;&gt;"Card"),0,ROUND(($J449+$K449)*IFERROR(INDEX(Shows!$G$4:$G$23,MATCH($B449,Shows!$A$4:$A$23,0)),0)+IFERROR(INDEX(Shows!$H$4:$H$23,MATCH($B449,Shows!$A$4:$A$23,0)),0),2))</f>
        <v/>
      </c>
      <c r="Q449" s="38">
        <f>IF($C449="","",$J449+$K449-$P449)</f>
        <v/>
      </c>
      <c r="R449" s="34" t="n"/>
      <c r="S449" s="34" t="n"/>
      <c r="T449" s="34" t="n"/>
    </row>
    <row r="450">
      <c r="A450" s="46" t="n"/>
      <c r="B450" s="40" t="n"/>
      <c r="C450" s="40" t="n"/>
      <c r="D450" s="11">
        <f>IF($C450="","",IFERROR(INDEX(Inventory!$B$4:$B$253,MATCH($C450,Inventory!$A$4:$A$253,0))&amp;" "&amp;INDEX(Inventory!$C$4:$C$253,MATCH($C450,Inventory!$A$4:$A$253,0)),"SKU not in Inventory"))</f>
        <v/>
      </c>
      <c r="E450" s="42" t="n"/>
      <c r="F450" s="41" t="n"/>
      <c r="G450" s="41" t="n"/>
      <c r="H450" s="47">
        <f>IF($C450="","",IFERROR(INDEX(Inventory!$H$4:$H$253,MATCH($C450,Inventory!$A$4:$A$253,0)),0))</f>
        <v/>
      </c>
      <c r="I450" s="40" t="n"/>
      <c r="J450" s="44">
        <f>IF($C450="","",MAX(0,$E450*$F450-$G450))</f>
        <v/>
      </c>
      <c r="K450" s="44">
        <f>IF(OR($C450="",$I450="No"),0,ROUND($J450*IFERROR(INDEX(Shows!$F$4:$F$23,MATCH($B450,Shows!$A$4:$A$23,0)),0),2))</f>
        <v/>
      </c>
      <c r="L450" s="44">
        <f>IF($C450="","",$E450*$H450)</f>
        <v/>
      </c>
      <c r="M450" s="44">
        <f>IF($C450="","",$J450-$L450-$P450)</f>
        <v/>
      </c>
      <c r="N450" s="40" t="n"/>
      <c r="O450" s="40" t="n"/>
      <c r="P450" s="44">
        <f>IF(OR($C450="",$N450&lt;&gt;"Card"),0,ROUND(($J450+$K450)*IFERROR(INDEX(Shows!$G$4:$G$23,MATCH($B450,Shows!$A$4:$A$23,0)),0)+IFERROR(INDEX(Shows!$H$4:$H$23,MATCH($B450,Shows!$A$4:$A$23,0)),0),2))</f>
        <v/>
      </c>
      <c r="Q450" s="44">
        <f>IF($C450="","",$J450+$K450-$P450)</f>
        <v/>
      </c>
      <c r="R450" s="40" t="n"/>
      <c r="S450" s="40" t="n"/>
      <c r="T450" s="40" t="n"/>
    </row>
    <row r="451">
      <c r="A451" s="48" t="n"/>
      <c r="B451" s="34" t="n"/>
      <c r="C451" s="34" t="n"/>
      <c r="D451" s="15">
        <f>IF($C451="","",IFERROR(INDEX(Inventory!$B$4:$B$253,MATCH($C451,Inventory!$A$4:$A$253,0))&amp;" "&amp;INDEX(Inventory!$C$4:$C$253,MATCH($C451,Inventory!$A$4:$A$253,0)),"SKU not in Inventory"))</f>
        <v/>
      </c>
      <c r="E451" s="36" t="n"/>
      <c r="F451" s="35" t="n"/>
      <c r="G451" s="35" t="n"/>
      <c r="H451" s="49">
        <f>IF($C451="","",IFERROR(INDEX(Inventory!$H$4:$H$253,MATCH($C451,Inventory!$A$4:$A$253,0)),0))</f>
        <v/>
      </c>
      <c r="I451" s="34" t="n"/>
      <c r="J451" s="38">
        <f>IF($C451="","",MAX(0,$E451*$F451-$G451))</f>
        <v/>
      </c>
      <c r="K451" s="38">
        <f>IF(OR($C451="",$I451="No"),0,ROUND($J451*IFERROR(INDEX(Shows!$F$4:$F$23,MATCH($B451,Shows!$A$4:$A$23,0)),0),2))</f>
        <v/>
      </c>
      <c r="L451" s="38">
        <f>IF($C451="","",$E451*$H451)</f>
        <v/>
      </c>
      <c r="M451" s="38">
        <f>IF($C451="","",$J451-$L451-$P451)</f>
        <v/>
      </c>
      <c r="N451" s="34" t="n"/>
      <c r="O451" s="34" t="n"/>
      <c r="P451" s="38">
        <f>IF(OR($C451="",$N451&lt;&gt;"Card"),0,ROUND(($J451+$K451)*IFERROR(INDEX(Shows!$G$4:$G$23,MATCH($B451,Shows!$A$4:$A$23,0)),0)+IFERROR(INDEX(Shows!$H$4:$H$23,MATCH($B451,Shows!$A$4:$A$23,0)),0),2))</f>
        <v/>
      </c>
      <c r="Q451" s="38">
        <f>IF($C451="","",$J451+$K451-$P451)</f>
        <v/>
      </c>
      <c r="R451" s="34" t="n"/>
      <c r="S451" s="34" t="n"/>
      <c r="T451" s="34" t="n"/>
    </row>
    <row r="452">
      <c r="A452" s="46" t="n"/>
      <c r="B452" s="40" t="n"/>
      <c r="C452" s="40" t="n"/>
      <c r="D452" s="11">
        <f>IF($C452="","",IFERROR(INDEX(Inventory!$B$4:$B$253,MATCH($C452,Inventory!$A$4:$A$253,0))&amp;" "&amp;INDEX(Inventory!$C$4:$C$253,MATCH($C452,Inventory!$A$4:$A$253,0)),"SKU not in Inventory"))</f>
        <v/>
      </c>
      <c r="E452" s="42" t="n"/>
      <c r="F452" s="41" t="n"/>
      <c r="G452" s="41" t="n"/>
      <c r="H452" s="47">
        <f>IF($C452="","",IFERROR(INDEX(Inventory!$H$4:$H$253,MATCH($C452,Inventory!$A$4:$A$253,0)),0))</f>
        <v/>
      </c>
      <c r="I452" s="40" t="n"/>
      <c r="J452" s="44">
        <f>IF($C452="","",MAX(0,$E452*$F452-$G452))</f>
        <v/>
      </c>
      <c r="K452" s="44">
        <f>IF(OR($C452="",$I452="No"),0,ROUND($J452*IFERROR(INDEX(Shows!$F$4:$F$23,MATCH($B452,Shows!$A$4:$A$23,0)),0),2))</f>
        <v/>
      </c>
      <c r="L452" s="44">
        <f>IF($C452="","",$E452*$H452)</f>
        <v/>
      </c>
      <c r="M452" s="44">
        <f>IF($C452="","",$J452-$L452-$P452)</f>
        <v/>
      </c>
      <c r="N452" s="40" t="n"/>
      <c r="O452" s="40" t="n"/>
      <c r="P452" s="44">
        <f>IF(OR($C452="",$N452&lt;&gt;"Card"),0,ROUND(($J452+$K452)*IFERROR(INDEX(Shows!$G$4:$G$23,MATCH($B452,Shows!$A$4:$A$23,0)),0)+IFERROR(INDEX(Shows!$H$4:$H$23,MATCH($B452,Shows!$A$4:$A$23,0)),0),2))</f>
        <v/>
      </c>
      <c r="Q452" s="44">
        <f>IF($C452="","",$J452+$K452-$P452)</f>
        <v/>
      </c>
      <c r="R452" s="40" t="n"/>
      <c r="S452" s="40" t="n"/>
      <c r="T452" s="40" t="n"/>
    </row>
    <row r="453">
      <c r="A453" s="48" t="n"/>
      <c r="B453" s="34" t="n"/>
      <c r="C453" s="34" t="n"/>
      <c r="D453" s="15">
        <f>IF($C453="","",IFERROR(INDEX(Inventory!$B$4:$B$253,MATCH($C453,Inventory!$A$4:$A$253,0))&amp;" "&amp;INDEX(Inventory!$C$4:$C$253,MATCH($C453,Inventory!$A$4:$A$253,0)),"SKU not in Inventory"))</f>
        <v/>
      </c>
      <c r="E453" s="36" t="n"/>
      <c r="F453" s="35" t="n"/>
      <c r="G453" s="35" t="n"/>
      <c r="H453" s="49">
        <f>IF($C453="","",IFERROR(INDEX(Inventory!$H$4:$H$253,MATCH($C453,Inventory!$A$4:$A$253,0)),0))</f>
        <v/>
      </c>
      <c r="I453" s="34" t="n"/>
      <c r="J453" s="38">
        <f>IF($C453="","",MAX(0,$E453*$F453-$G453))</f>
        <v/>
      </c>
      <c r="K453" s="38">
        <f>IF(OR($C453="",$I453="No"),0,ROUND($J453*IFERROR(INDEX(Shows!$F$4:$F$23,MATCH($B453,Shows!$A$4:$A$23,0)),0),2))</f>
        <v/>
      </c>
      <c r="L453" s="38">
        <f>IF($C453="","",$E453*$H453)</f>
        <v/>
      </c>
      <c r="M453" s="38">
        <f>IF($C453="","",$J453-$L453-$P453)</f>
        <v/>
      </c>
      <c r="N453" s="34" t="n"/>
      <c r="O453" s="34" t="n"/>
      <c r="P453" s="38">
        <f>IF(OR($C453="",$N453&lt;&gt;"Card"),0,ROUND(($J453+$K453)*IFERROR(INDEX(Shows!$G$4:$G$23,MATCH($B453,Shows!$A$4:$A$23,0)),0)+IFERROR(INDEX(Shows!$H$4:$H$23,MATCH($B453,Shows!$A$4:$A$23,0)),0),2))</f>
        <v/>
      </c>
      <c r="Q453" s="38">
        <f>IF($C453="","",$J453+$K453-$P453)</f>
        <v/>
      </c>
      <c r="R453" s="34" t="n"/>
      <c r="S453" s="34" t="n"/>
      <c r="T453" s="34" t="n"/>
    </row>
    <row r="454">
      <c r="A454" s="46" t="n"/>
      <c r="B454" s="40" t="n"/>
      <c r="C454" s="40" t="n"/>
      <c r="D454" s="11">
        <f>IF($C454="","",IFERROR(INDEX(Inventory!$B$4:$B$253,MATCH($C454,Inventory!$A$4:$A$253,0))&amp;" "&amp;INDEX(Inventory!$C$4:$C$253,MATCH($C454,Inventory!$A$4:$A$253,0)),"SKU not in Inventory"))</f>
        <v/>
      </c>
      <c r="E454" s="42" t="n"/>
      <c r="F454" s="41" t="n"/>
      <c r="G454" s="41" t="n"/>
      <c r="H454" s="47">
        <f>IF($C454="","",IFERROR(INDEX(Inventory!$H$4:$H$253,MATCH($C454,Inventory!$A$4:$A$253,0)),0))</f>
        <v/>
      </c>
      <c r="I454" s="40" t="n"/>
      <c r="J454" s="44">
        <f>IF($C454="","",MAX(0,$E454*$F454-$G454))</f>
        <v/>
      </c>
      <c r="K454" s="44">
        <f>IF(OR($C454="",$I454="No"),0,ROUND($J454*IFERROR(INDEX(Shows!$F$4:$F$23,MATCH($B454,Shows!$A$4:$A$23,0)),0),2))</f>
        <v/>
      </c>
      <c r="L454" s="44">
        <f>IF($C454="","",$E454*$H454)</f>
        <v/>
      </c>
      <c r="M454" s="44">
        <f>IF($C454="","",$J454-$L454-$P454)</f>
        <v/>
      </c>
      <c r="N454" s="40" t="n"/>
      <c r="O454" s="40" t="n"/>
      <c r="P454" s="44">
        <f>IF(OR($C454="",$N454&lt;&gt;"Card"),0,ROUND(($J454+$K454)*IFERROR(INDEX(Shows!$G$4:$G$23,MATCH($B454,Shows!$A$4:$A$23,0)),0)+IFERROR(INDEX(Shows!$H$4:$H$23,MATCH($B454,Shows!$A$4:$A$23,0)),0),2))</f>
        <v/>
      </c>
      <c r="Q454" s="44">
        <f>IF($C454="","",$J454+$K454-$P454)</f>
        <v/>
      </c>
      <c r="R454" s="40" t="n"/>
      <c r="S454" s="40" t="n"/>
      <c r="T454" s="40" t="n"/>
    </row>
    <row r="455">
      <c r="A455" s="48" t="n"/>
      <c r="B455" s="34" t="n"/>
      <c r="C455" s="34" t="n"/>
      <c r="D455" s="15">
        <f>IF($C455="","",IFERROR(INDEX(Inventory!$B$4:$B$253,MATCH($C455,Inventory!$A$4:$A$253,0))&amp;" "&amp;INDEX(Inventory!$C$4:$C$253,MATCH($C455,Inventory!$A$4:$A$253,0)),"SKU not in Inventory"))</f>
        <v/>
      </c>
      <c r="E455" s="36" t="n"/>
      <c r="F455" s="35" t="n"/>
      <c r="G455" s="35" t="n"/>
      <c r="H455" s="49">
        <f>IF($C455="","",IFERROR(INDEX(Inventory!$H$4:$H$253,MATCH($C455,Inventory!$A$4:$A$253,0)),0))</f>
        <v/>
      </c>
      <c r="I455" s="34" t="n"/>
      <c r="J455" s="38">
        <f>IF($C455="","",MAX(0,$E455*$F455-$G455))</f>
        <v/>
      </c>
      <c r="K455" s="38">
        <f>IF(OR($C455="",$I455="No"),0,ROUND($J455*IFERROR(INDEX(Shows!$F$4:$F$23,MATCH($B455,Shows!$A$4:$A$23,0)),0),2))</f>
        <v/>
      </c>
      <c r="L455" s="38">
        <f>IF($C455="","",$E455*$H455)</f>
        <v/>
      </c>
      <c r="M455" s="38">
        <f>IF($C455="","",$J455-$L455-$P455)</f>
        <v/>
      </c>
      <c r="N455" s="34" t="n"/>
      <c r="O455" s="34" t="n"/>
      <c r="P455" s="38">
        <f>IF(OR($C455="",$N455&lt;&gt;"Card"),0,ROUND(($J455+$K455)*IFERROR(INDEX(Shows!$G$4:$G$23,MATCH($B455,Shows!$A$4:$A$23,0)),0)+IFERROR(INDEX(Shows!$H$4:$H$23,MATCH($B455,Shows!$A$4:$A$23,0)),0),2))</f>
        <v/>
      </c>
      <c r="Q455" s="38">
        <f>IF($C455="","",$J455+$K455-$P455)</f>
        <v/>
      </c>
      <c r="R455" s="34" t="n"/>
      <c r="S455" s="34" t="n"/>
      <c r="T455" s="34" t="n"/>
    </row>
    <row r="456">
      <c r="A456" s="46" t="n"/>
      <c r="B456" s="40" t="n"/>
      <c r="C456" s="40" t="n"/>
      <c r="D456" s="11">
        <f>IF($C456="","",IFERROR(INDEX(Inventory!$B$4:$B$253,MATCH($C456,Inventory!$A$4:$A$253,0))&amp;" "&amp;INDEX(Inventory!$C$4:$C$253,MATCH($C456,Inventory!$A$4:$A$253,0)),"SKU not in Inventory"))</f>
        <v/>
      </c>
      <c r="E456" s="42" t="n"/>
      <c r="F456" s="41" t="n"/>
      <c r="G456" s="41" t="n"/>
      <c r="H456" s="47">
        <f>IF($C456="","",IFERROR(INDEX(Inventory!$H$4:$H$253,MATCH($C456,Inventory!$A$4:$A$253,0)),0))</f>
        <v/>
      </c>
      <c r="I456" s="40" t="n"/>
      <c r="J456" s="44">
        <f>IF($C456="","",MAX(0,$E456*$F456-$G456))</f>
        <v/>
      </c>
      <c r="K456" s="44">
        <f>IF(OR($C456="",$I456="No"),0,ROUND($J456*IFERROR(INDEX(Shows!$F$4:$F$23,MATCH($B456,Shows!$A$4:$A$23,0)),0),2))</f>
        <v/>
      </c>
      <c r="L456" s="44">
        <f>IF($C456="","",$E456*$H456)</f>
        <v/>
      </c>
      <c r="M456" s="44">
        <f>IF($C456="","",$J456-$L456-$P456)</f>
        <v/>
      </c>
      <c r="N456" s="40" t="n"/>
      <c r="O456" s="40" t="n"/>
      <c r="P456" s="44">
        <f>IF(OR($C456="",$N456&lt;&gt;"Card"),0,ROUND(($J456+$K456)*IFERROR(INDEX(Shows!$G$4:$G$23,MATCH($B456,Shows!$A$4:$A$23,0)),0)+IFERROR(INDEX(Shows!$H$4:$H$23,MATCH($B456,Shows!$A$4:$A$23,0)),0),2))</f>
        <v/>
      </c>
      <c r="Q456" s="44">
        <f>IF($C456="","",$J456+$K456-$P456)</f>
        <v/>
      </c>
      <c r="R456" s="40" t="n"/>
      <c r="S456" s="40" t="n"/>
      <c r="T456" s="40" t="n"/>
    </row>
    <row r="457">
      <c r="A457" s="48" t="n"/>
      <c r="B457" s="34" t="n"/>
      <c r="C457" s="34" t="n"/>
      <c r="D457" s="15">
        <f>IF($C457="","",IFERROR(INDEX(Inventory!$B$4:$B$253,MATCH($C457,Inventory!$A$4:$A$253,0))&amp;" "&amp;INDEX(Inventory!$C$4:$C$253,MATCH($C457,Inventory!$A$4:$A$253,0)),"SKU not in Inventory"))</f>
        <v/>
      </c>
      <c r="E457" s="36" t="n"/>
      <c r="F457" s="35" t="n"/>
      <c r="G457" s="35" t="n"/>
      <c r="H457" s="49">
        <f>IF($C457="","",IFERROR(INDEX(Inventory!$H$4:$H$253,MATCH($C457,Inventory!$A$4:$A$253,0)),0))</f>
        <v/>
      </c>
      <c r="I457" s="34" t="n"/>
      <c r="J457" s="38">
        <f>IF($C457="","",MAX(0,$E457*$F457-$G457))</f>
        <v/>
      </c>
      <c r="K457" s="38">
        <f>IF(OR($C457="",$I457="No"),0,ROUND($J457*IFERROR(INDEX(Shows!$F$4:$F$23,MATCH($B457,Shows!$A$4:$A$23,0)),0),2))</f>
        <v/>
      </c>
      <c r="L457" s="38">
        <f>IF($C457="","",$E457*$H457)</f>
        <v/>
      </c>
      <c r="M457" s="38">
        <f>IF($C457="","",$J457-$L457-$P457)</f>
        <v/>
      </c>
      <c r="N457" s="34" t="n"/>
      <c r="O457" s="34" t="n"/>
      <c r="P457" s="38">
        <f>IF(OR($C457="",$N457&lt;&gt;"Card"),0,ROUND(($J457+$K457)*IFERROR(INDEX(Shows!$G$4:$G$23,MATCH($B457,Shows!$A$4:$A$23,0)),0)+IFERROR(INDEX(Shows!$H$4:$H$23,MATCH($B457,Shows!$A$4:$A$23,0)),0),2))</f>
        <v/>
      </c>
      <c r="Q457" s="38">
        <f>IF($C457="","",$J457+$K457-$P457)</f>
        <v/>
      </c>
      <c r="R457" s="34" t="n"/>
      <c r="S457" s="34" t="n"/>
      <c r="T457" s="34" t="n"/>
    </row>
    <row r="458">
      <c r="A458" s="46" t="n"/>
      <c r="B458" s="40" t="n"/>
      <c r="C458" s="40" t="n"/>
      <c r="D458" s="11">
        <f>IF($C458="","",IFERROR(INDEX(Inventory!$B$4:$B$253,MATCH($C458,Inventory!$A$4:$A$253,0))&amp;" "&amp;INDEX(Inventory!$C$4:$C$253,MATCH($C458,Inventory!$A$4:$A$253,0)),"SKU not in Inventory"))</f>
        <v/>
      </c>
      <c r="E458" s="42" t="n"/>
      <c r="F458" s="41" t="n"/>
      <c r="G458" s="41" t="n"/>
      <c r="H458" s="47">
        <f>IF($C458="","",IFERROR(INDEX(Inventory!$H$4:$H$253,MATCH($C458,Inventory!$A$4:$A$253,0)),0))</f>
        <v/>
      </c>
      <c r="I458" s="40" t="n"/>
      <c r="J458" s="44">
        <f>IF($C458="","",MAX(0,$E458*$F458-$G458))</f>
        <v/>
      </c>
      <c r="K458" s="44">
        <f>IF(OR($C458="",$I458="No"),0,ROUND($J458*IFERROR(INDEX(Shows!$F$4:$F$23,MATCH($B458,Shows!$A$4:$A$23,0)),0),2))</f>
        <v/>
      </c>
      <c r="L458" s="44">
        <f>IF($C458="","",$E458*$H458)</f>
        <v/>
      </c>
      <c r="M458" s="44">
        <f>IF($C458="","",$J458-$L458-$P458)</f>
        <v/>
      </c>
      <c r="N458" s="40" t="n"/>
      <c r="O458" s="40" t="n"/>
      <c r="P458" s="44">
        <f>IF(OR($C458="",$N458&lt;&gt;"Card"),0,ROUND(($J458+$K458)*IFERROR(INDEX(Shows!$G$4:$G$23,MATCH($B458,Shows!$A$4:$A$23,0)),0)+IFERROR(INDEX(Shows!$H$4:$H$23,MATCH($B458,Shows!$A$4:$A$23,0)),0),2))</f>
        <v/>
      </c>
      <c r="Q458" s="44">
        <f>IF($C458="","",$J458+$K458-$P458)</f>
        <v/>
      </c>
      <c r="R458" s="40" t="n"/>
      <c r="S458" s="40" t="n"/>
      <c r="T458" s="40" t="n"/>
    </row>
    <row r="459">
      <c r="A459" s="48" t="n"/>
      <c r="B459" s="34" t="n"/>
      <c r="C459" s="34" t="n"/>
      <c r="D459" s="15">
        <f>IF($C459="","",IFERROR(INDEX(Inventory!$B$4:$B$253,MATCH($C459,Inventory!$A$4:$A$253,0))&amp;" "&amp;INDEX(Inventory!$C$4:$C$253,MATCH($C459,Inventory!$A$4:$A$253,0)),"SKU not in Inventory"))</f>
        <v/>
      </c>
      <c r="E459" s="36" t="n"/>
      <c r="F459" s="35" t="n"/>
      <c r="G459" s="35" t="n"/>
      <c r="H459" s="49">
        <f>IF($C459="","",IFERROR(INDEX(Inventory!$H$4:$H$253,MATCH($C459,Inventory!$A$4:$A$253,0)),0))</f>
        <v/>
      </c>
      <c r="I459" s="34" t="n"/>
      <c r="J459" s="38">
        <f>IF($C459="","",MAX(0,$E459*$F459-$G459))</f>
        <v/>
      </c>
      <c r="K459" s="38">
        <f>IF(OR($C459="",$I459="No"),0,ROUND($J459*IFERROR(INDEX(Shows!$F$4:$F$23,MATCH($B459,Shows!$A$4:$A$23,0)),0),2))</f>
        <v/>
      </c>
      <c r="L459" s="38">
        <f>IF($C459="","",$E459*$H459)</f>
        <v/>
      </c>
      <c r="M459" s="38">
        <f>IF($C459="","",$J459-$L459-$P459)</f>
        <v/>
      </c>
      <c r="N459" s="34" t="n"/>
      <c r="O459" s="34" t="n"/>
      <c r="P459" s="38">
        <f>IF(OR($C459="",$N459&lt;&gt;"Card"),0,ROUND(($J459+$K459)*IFERROR(INDEX(Shows!$G$4:$G$23,MATCH($B459,Shows!$A$4:$A$23,0)),0)+IFERROR(INDEX(Shows!$H$4:$H$23,MATCH($B459,Shows!$A$4:$A$23,0)),0),2))</f>
        <v/>
      </c>
      <c r="Q459" s="38">
        <f>IF($C459="","",$J459+$K459-$P459)</f>
        <v/>
      </c>
      <c r="R459" s="34" t="n"/>
      <c r="S459" s="34" t="n"/>
      <c r="T459" s="34" t="n"/>
    </row>
    <row r="460">
      <c r="A460" s="46" t="n"/>
      <c r="B460" s="40" t="n"/>
      <c r="C460" s="40" t="n"/>
      <c r="D460" s="11">
        <f>IF($C460="","",IFERROR(INDEX(Inventory!$B$4:$B$253,MATCH($C460,Inventory!$A$4:$A$253,0))&amp;" "&amp;INDEX(Inventory!$C$4:$C$253,MATCH($C460,Inventory!$A$4:$A$253,0)),"SKU not in Inventory"))</f>
        <v/>
      </c>
      <c r="E460" s="42" t="n"/>
      <c r="F460" s="41" t="n"/>
      <c r="G460" s="41" t="n"/>
      <c r="H460" s="47">
        <f>IF($C460="","",IFERROR(INDEX(Inventory!$H$4:$H$253,MATCH($C460,Inventory!$A$4:$A$253,0)),0))</f>
        <v/>
      </c>
      <c r="I460" s="40" t="n"/>
      <c r="J460" s="44">
        <f>IF($C460="","",MAX(0,$E460*$F460-$G460))</f>
        <v/>
      </c>
      <c r="K460" s="44">
        <f>IF(OR($C460="",$I460="No"),0,ROUND($J460*IFERROR(INDEX(Shows!$F$4:$F$23,MATCH($B460,Shows!$A$4:$A$23,0)),0),2))</f>
        <v/>
      </c>
      <c r="L460" s="44">
        <f>IF($C460="","",$E460*$H460)</f>
        <v/>
      </c>
      <c r="M460" s="44">
        <f>IF($C460="","",$J460-$L460-$P460)</f>
        <v/>
      </c>
      <c r="N460" s="40" t="n"/>
      <c r="O460" s="40" t="n"/>
      <c r="P460" s="44">
        <f>IF(OR($C460="",$N460&lt;&gt;"Card"),0,ROUND(($J460+$K460)*IFERROR(INDEX(Shows!$G$4:$G$23,MATCH($B460,Shows!$A$4:$A$23,0)),0)+IFERROR(INDEX(Shows!$H$4:$H$23,MATCH($B460,Shows!$A$4:$A$23,0)),0),2))</f>
        <v/>
      </c>
      <c r="Q460" s="44">
        <f>IF($C460="","",$J460+$K460-$P460)</f>
        <v/>
      </c>
      <c r="R460" s="40" t="n"/>
      <c r="S460" s="40" t="n"/>
      <c r="T460" s="40" t="n"/>
    </row>
    <row r="461">
      <c r="A461" s="48" t="n"/>
      <c r="B461" s="34" t="n"/>
      <c r="C461" s="34" t="n"/>
      <c r="D461" s="15">
        <f>IF($C461="","",IFERROR(INDEX(Inventory!$B$4:$B$253,MATCH($C461,Inventory!$A$4:$A$253,0))&amp;" "&amp;INDEX(Inventory!$C$4:$C$253,MATCH($C461,Inventory!$A$4:$A$253,0)),"SKU not in Inventory"))</f>
        <v/>
      </c>
      <c r="E461" s="36" t="n"/>
      <c r="F461" s="35" t="n"/>
      <c r="G461" s="35" t="n"/>
      <c r="H461" s="49">
        <f>IF($C461="","",IFERROR(INDEX(Inventory!$H$4:$H$253,MATCH($C461,Inventory!$A$4:$A$253,0)),0))</f>
        <v/>
      </c>
      <c r="I461" s="34" t="n"/>
      <c r="J461" s="38">
        <f>IF($C461="","",MAX(0,$E461*$F461-$G461))</f>
        <v/>
      </c>
      <c r="K461" s="38">
        <f>IF(OR($C461="",$I461="No"),0,ROUND($J461*IFERROR(INDEX(Shows!$F$4:$F$23,MATCH($B461,Shows!$A$4:$A$23,0)),0),2))</f>
        <v/>
      </c>
      <c r="L461" s="38">
        <f>IF($C461="","",$E461*$H461)</f>
        <v/>
      </c>
      <c r="M461" s="38">
        <f>IF($C461="","",$J461-$L461-$P461)</f>
        <v/>
      </c>
      <c r="N461" s="34" t="n"/>
      <c r="O461" s="34" t="n"/>
      <c r="P461" s="38">
        <f>IF(OR($C461="",$N461&lt;&gt;"Card"),0,ROUND(($J461+$K461)*IFERROR(INDEX(Shows!$G$4:$G$23,MATCH($B461,Shows!$A$4:$A$23,0)),0)+IFERROR(INDEX(Shows!$H$4:$H$23,MATCH($B461,Shows!$A$4:$A$23,0)),0),2))</f>
        <v/>
      </c>
      <c r="Q461" s="38">
        <f>IF($C461="","",$J461+$K461-$P461)</f>
        <v/>
      </c>
      <c r="R461" s="34" t="n"/>
      <c r="S461" s="34" t="n"/>
      <c r="T461" s="34" t="n"/>
    </row>
    <row r="462">
      <c r="A462" s="46" t="n"/>
      <c r="B462" s="40" t="n"/>
      <c r="C462" s="40" t="n"/>
      <c r="D462" s="11">
        <f>IF($C462="","",IFERROR(INDEX(Inventory!$B$4:$B$253,MATCH($C462,Inventory!$A$4:$A$253,0))&amp;" "&amp;INDEX(Inventory!$C$4:$C$253,MATCH($C462,Inventory!$A$4:$A$253,0)),"SKU not in Inventory"))</f>
        <v/>
      </c>
      <c r="E462" s="42" t="n"/>
      <c r="F462" s="41" t="n"/>
      <c r="G462" s="41" t="n"/>
      <c r="H462" s="47">
        <f>IF($C462="","",IFERROR(INDEX(Inventory!$H$4:$H$253,MATCH($C462,Inventory!$A$4:$A$253,0)),0))</f>
        <v/>
      </c>
      <c r="I462" s="40" t="n"/>
      <c r="J462" s="44">
        <f>IF($C462="","",MAX(0,$E462*$F462-$G462))</f>
        <v/>
      </c>
      <c r="K462" s="44">
        <f>IF(OR($C462="",$I462="No"),0,ROUND($J462*IFERROR(INDEX(Shows!$F$4:$F$23,MATCH($B462,Shows!$A$4:$A$23,0)),0),2))</f>
        <v/>
      </c>
      <c r="L462" s="44">
        <f>IF($C462="","",$E462*$H462)</f>
        <v/>
      </c>
      <c r="M462" s="44">
        <f>IF($C462="","",$J462-$L462-$P462)</f>
        <v/>
      </c>
      <c r="N462" s="40" t="n"/>
      <c r="O462" s="40" t="n"/>
      <c r="P462" s="44">
        <f>IF(OR($C462="",$N462&lt;&gt;"Card"),0,ROUND(($J462+$K462)*IFERROR(INDEX(Shows!$G$4:$G$23,MATCH($B462,Shows!$A$4:$A$23,0)),0)+IFERROR(INDEX(Shows!$H$4:$H$23,MATCH($B462,Shows!$A$4:$A$23,0)),0),2))</f>
        <v/>
      </c>
      <c r="Q462" s="44">
        <f>IF($C462="","",$J462+$K462-$P462)</f>
        <v/>
      </c>
      <c r="R462" s="40" t="n"/>
      <c r="S462" s="40" t="n"/>
      <c r="T462" s="40" t="n"/>
    </row>
    <row r="463">
      <c r="A463" s="48" t="n"/>
      <c r="B463" s="34" t="n"/>
      <c r="C463" s="34" t="n"/>
      <c r="D463" s="15">
        <f>IF($C463="","",IFERROR(INDEX(Inventory!$B$4:$B$253,MATCH($C463,Inventory!$A$4:$A$253,0))&amp;" "&amp;INDEX(Inventory!$C$4:$C$253,MATCH($C463,Inventory!$A$4:$A$253,0)),"SKU not in Inventory"))</f>
        <v/>
      </c>
      <c r="E463" s="36" t="n"/>
      <c r="F463" s="35" t="n"/>
      <c r="G463" s="35" t="n"/>
      <c r="H463" s="49">
        <f>IF($C463="","",IFERROR(INDEX(Inventory!$H$4:$H$253,MATCH($C463,Inventory!$A$4:$A$253,0)),0))</f>
        <v/>
      </c>
      <c r="I463" s="34" t="n"/>
      <c r="J463" s="38">
        <f>IF($C463="","",MAX(0,$E463*$F463-$G463))</f>
        <v/>
      </c>
      <c r="K463" s="38">
        <f>IF(OR($C463="",$I463="No"),0,ROUND($J463*IFERROR(INDEX(Shows!$F$4:$F$23,MATCH($B463,Shows!$A$4:$A$23,0)),0),2))</f>
        <v/>
      </c>
      <c r="L463" s="38">
        <f>IF($C463="","",$E463*$H463)</f>
        <v/>
      </c>
      <c r="M463" s="38">
        <f>IF($C463="","",$J463-$L463-$P463)</f>
        <v/>
      </c>
      <c r="N463" s="34" t="n"/>
      <c r="O463" s="34" t="n"/>
      <c r="P463" s="38">
        <f>IF(OR($C463="",$N463&lt;&gt;"Card"),0,ROUND(($J463+$K463)*IFERROR(INDEX(Shows!$G$4:$G$23,MATCH($B463,Shows!$A$4:$A$23,0)),0)+IFERROR(INDEX(Shows!$H$4:$H$23,MATCH($B463,Shows!$A$4:$A$23,0)),0),2))</f>
        <v/>
      </c>
      <c r="Q463" s="38">
        <f>IF($C463="","",$J463+$K463-$P463)</f>
        <v/>
      </c>
      <c r="R463" s="34" t="n"/>
      <c r="S463" s="34" t="n"/>
      <c r="T463" s="34" t="n"/>
    </row>
    <row r="464">
      <c r="A464" s="46" t="n"/>
      <c r="B464" s="40" t="n"/>
      <c r="C464" s="40" t="n"/>
      <c r="D464" s="11">
        <f>IF($C464="","",IFERROR(INDEX(Inventory!$B$4:$B$253,MATCH($C464,Inventory!$A$4:$A$253,0))&amp;" "&amp;INDEX(Inventory!$C$4:$C$253,MATCH($C464,Inventory!$A$4:$A$253,0)),"SKU not in Inventory"))</f>
        <v/>
      </c>
      <c r="E464" s="42" t="n"/>
      <c r="F464" s="41" t="n"/>
      <c r="G464" s="41" t="n"/>
      <c r="H464" s="47">
        <f>IF($C464="","",IFERROR(INDEX(Inventory!$H$4:$H$253,MATCH($C464,Inventory!$A$4:$A$253,0)),0))</f>
        <v/>
      </c>
      <c r="I464" s="40" t="n"/>
      <c r="J464" s="44">
        <f>IF($C464="","",MAX(0,$E464*$F464-$G464))</f>
        <v/>
      </c>
      <c r="K464" s="44">
        <f>IF(OR($C464="",$I464="No"),0,ROUND($J464*IFERROR(INDEX(Shows!$F$4:$F$23,MATCH($B464,Shows!$A$4:$A$23,0)),0),2))</f>
        <v/>
      </c>
      <c r="L464" s="44">
        <f>IF($C464="","",$E464*$H464)</f>
        <v/>
      </c>
      <c r="M464" s="44">
        <f>IF($C464="","",$J464-$L464-$P464)</f>
        <v/>
      </c>
      <c r="N464" s="40" t="n"/>
      <c r="O464" s="40" t="n"/>
      <c r="P464" s="44">
        <f>IF(OR($C464="",$N464&lt;&gt;"Card"),0,ROUND(($J464+$K464)*IFERROR(INDEX(Shows!$G$4:$G$23,MATCH($B464,Shows!$A$4:$A$23,0)),0)+IFERROR(INDEX(Shows!$H$4:$H$23,MATCH($B464,Shows!$A$4:$A$23,0)),0),2))</f>
        <v/>
      </c>
      <c r="Q464" s="44">
        <f>IF($C464="","",$J464+$K464-$P464)</f>
        <v/>
      </c>
      <c r="R464" s="40" t="n"/>
      <c r="S464" s="40" t="n"/>
      <c r="T464" s="40" t="n"/>
    </row>
    <row r="465">
      <c r="A465" s="48" t="n"/>
      <c r="B465" s="34" t="n"/>
      <c r="C465" s="34" t="n"/>
      <c r="D465" s="15">
        <f>IF($C465="","",IFERROR(INDEX(Inventory!$B$4:$B$253,MATCH($C465,Inventory!$A$4:$A$253,0))&amp;" "&amp;INDEX(Inventory!$C$4:$C$253,MATCH($C465,Inventory!$A$4:$A$253,0)),"SKU not in Inventory"))</f>
        <v/>
      </c>
      <c r="E465" s="36" t="n"/>
      <c r="F465" s="35" t="n"/>
      <c r="G465" s="35" t="n"/>
      <c r="H465" s="49">
        <f>IF($C465="","",IFERROR(INDEX(Inventory!$H$4:$H$253,MATCH($C465,Inventory!$A$4:$A$253,0)),0))</f>
        <v/>
      </c>
      <c r="I465" s="34" t="n"/>
      <c r="J465" s="38">
        <f>IF($C465="","",MAX(0,$E465*$F465-$G465))</f>
        <v/>
      </c>
      <c r="K465" s="38">
        <f>IF(OR($C465="",$I465="No"),0,ROUND($J465*IFERROR(INDEX(Shows!$F$4:$F$23,MATCH($B465,Shows!$A$4:$A$23,0)),0),2))</f>
        <v/>
      </c>
      <c r="L465" s="38">
        <f>IF($C465="","",$E465*$H465)</f>
        <v/>
      </c>
      <c r="M465" s="38">
        <f>IF($C465="","",$J465-$L465-$P465)</f>
        <v/>
      </c>
      <c r="N465" s="34" t="n"/>
      <c r="O465" s="34" t="n"/>
      <c r="P465" s="38">
        <f>IF(OR($C465="",$N465&lt;&gt;"Card"),0,ROUND(($J465+$K465)*IFERROR(INDEX(Shows!$G$4:$G$23,MATCH($B465,Shows!$A$4:$A$23,0)),0)+IFERROR(INDEX(Shows!$H$4:$H$23,MATCH($B465,Shows!$A$4:$A$23,0)),0),2))</f>
        <v/>
      </c>
      <c r="Q465" s="38">
        <f>IF($C465="","",$J465+$K465-$P465)</f>
        <v/>
      </c>
      <c r="R465" s="34" t="n"/>
      <c r="S465" s="34" t="n"/>
      <c r="T465" s="34" t="n"/>
    </row>
    <row r="466">
      <c r="A466" s="46" t="n"/>
      <c r="B466" s="40" t="n"/>
      <c r="C466" s="40" t="n"/>
      <c r="D466" s="11">
        <f>IF($C466="","",IFERROR(INDEX(Inventory!$B$4:$B$253,MATCH($C466,Inventory!$A$4:$A$253,0))&amp;" "&amp;INDEX(Inventory!$C$4:$C$253,MATCH($C466,Inventory!$A$4:$A$253,0)),"SKU not in Inventory"))</f>
        <v/>
      </c>
      <c r="E466" s="42" t="n"/>
      <c r="F466" s="41" t="n"/>
      <c r="G466" s="41" t="n"/>
      <c r="H466" s="47">
        <f>IF($C466="","",IFERROR(INDEX(Inventory!$H$4:$H$253,MATCH($C466,Inventory!$A$4:$A$253,0)),0))</f>
        <v/>
      </c>
      <c r="I466" s="40" t="n"/>
      <c r="J466" s="44">
        <f>IF($C466="","",MAX(0,$E466*$F466-$G466))</f>
        <v/>
      </c>
      <c r="K466" s="44">
        <f>IF(OR($C466="",$I466="No"),0,ROUND($J466*IFERROR(INDEX(Shows!$F$4:$F$23,MATCH($B466,Shows!$A$4:$A$23,0)),0),2))</f>
        <v/>
      </c>
      <c r="L466" s="44">
        <f>IF($C466="","",$E466*$H466)</f>
        <v/>
      </c>
      <c r="M466" s="44">
        <f>IF($C466="","",$J466-$L466-$P466)</f>
        <v/>
      </c>
      <c r="N466" s="40" t="n"/>
      <c r="O466" s="40" t="n"/>
      <c r="P466" s="44">
        <f>IF(OR($C466="",$N466&lt;&gt;"Card"),0,ROUND(($J466+$K466)*IFERROR(INDEX(Shows!$G$4:$G$23,MATCH($B466,Shows!$A$4:$A$23,0)),0)+IFERROR(INDEX(Shows!$H$4:$H$23,MATCH($B466,Shows!$A$4:$A$23,0)),0),2))</f>
        <v/>
      </c>
      <c r="Q466" s="44">
        <f>IF($C466="","",$J466+$K466-$P466)</f>
        <v/>
      </c>
      <c r="R466" s="40" t="n"/>
      <c r="S466" s="40" t="n"/>
      <c r="T466" s="40" t="n"/>
    </row>
    <row r="467">
      <c r="A467" s="48" t="n"/>
      <c r="B467" s="34" t="n"/>
      <c r="C467" s="34" t="n"/>
      <c r="D467" s="15">
        <f>IF($C467="","",IFERROR(INDEX(Inventory!$B$4:$B$253,MATCH($C467,Inventory!$A$4:$A$253,0))&amp;" "&amp;INDEX(Inventory!$C$4:$C$253,MATCH($C467,Inventory!$A$4:$A$253,0)),"SKU not in Inventory"))</f>
        <v/>
      </c>
      <c r="E467" s="36" t="n"/>
      <c r="F467" s="35" t="n"/>
      <c r="G467" s="35" t="n"/>
      <c r="H467" s="49">
        <f>IF($C467="","",IFERROR(INDEX(Inventory!$H$4:$H$253,MATCH($C467,Inventory!$A$4:$A$253,0)),0))</f>
        <v/>
      </c>
      <c r="I467" s="34" t="n"/>
      <c r="J467" s="38">
        <f>IF($C467="","",MAX(0,$E467*$F467-$G467))</f>
        <v/>
      </c>
      <c r="K467" s="38">
        <f>IF(OR($C467="",$I467="No"),0,ROUND($J467*IFERROR(INDEX(Shows!$F$4:$F$23,MATCH($B467,Shows!$A$4:$A$23,0)),0),2))</f>
        <v/>
      </c>
      <c r="L467" s="38">
        <f>IF($C467="","",$E467*$H467)</f>
        <v/>
      </c>
      <c r="M467" s="38">
        <f>IF($C467="","",$J467-$L467-$P467)</f>
        <v/>
      </c>
      <c r="N467" s="34" t="n"/>
      <c r="O467" s="34" t="n"/>
      <c r="P467" s="38">
        <f>IF(OR($C467="",$N467&lt;&gt;"Card"),0,ROUND(($J467+$K467)*IFERROR(INDEX(Shows!$G$4:$G$23,MATCH($B467,Shows!$A$4:$A$23,0)),0)+IFERROR(INDEX(Shows!$H$4:$H$23,MATCH($B467,Shows!$A$4:$A$23,0)),0),2))</f>
        <v/>
      </c>
      <c r="Q467" s="38">
        <f>IF($C467="","",$J467+$K467-$P467)</f>
        <v/>
      </c>
      <c r="R467" s="34" t="n"/>
      <c r="S467" s="34" t="n"/>
      <c r="T467" s="34" t="n"/>
    </row>
    <row r="468">
      <c r="A468" s="46" t="n"/>
      <c r="B468" s="40" t="n"/>
      <c r="C468" s="40" t="n"/>
      <c r="D468" s="11">
        <f>IF($C468="","",IFERROR(INDEX(Inventory!$B$4:$B$253,MATCH($C468,Inventory!$A$4:$A$253,0))&amp;" "&amp;INDEX(Inventory!$C$4:$C$253,MATCH($C468,Inventory!$A$4:$A$253,0)),"SKU not in Inventory"))</f>
        <v/>
      </c>
      <c r="E468" s="42" t="n"/>
      <c r="F468" s="41" t="n"/>
      <c r="G468" s="41" t="n"/>
      <c r="H468" s="47">
        <f>IF($C468="","",IFERROR(INDEX(Inventory!$H$4:$H$253,MATCH($C468,Inventory!$A$4:$A$253,0)),0))</f>
        <v/>
      </c>
      <c r="I468" s="40" t="n"/>
      <c r="J468" s="44">
        <f>IF($C468="","",MAX(0,$E468*$F468-$G468))</f>
        <v/>
      </c>
      <c r="K468" s="44">
        <f>IF(OR($C468="",$I468="No"),0,ROUND($J468*IFERROR(INDEX(Shows!$F$4:$F$23,MATCH($B468,Shows!$A$4:$A$23,0)),0),2))</f>
        <v/>
      </c>
      <c r="L468" s="44">
        <f>IF($C468="","",$E468*$H468)</f>
        <v/>
      </c>
      <c r="M468" s="44">
        <f>IF($C468="","",$J468-$L468-$P468)</f>
        <v/>
      </c>
      <c r="N468" s="40" t="n"/>
      <c r="O468" s="40" t="n"/>
      <c r="P468" s="44">
        <f>IF(OR($C468="",$N468&lt;&gt;"Card"),0,ROUND(($J468+$K468)*IFERROR(INDEX(Shows!$G$4:$G$23,MATCH($B468,Shows!$A$4:$A$23,0)),0)+IFERROR(INDEX(Shows!$H$4:$H$23,MATCH($B468,Shows!$A$4:$A$23,0)),0),2))</f>
        <v/>
      </c>
      <c r="Q468" s="44">
        <f>IF($C468="","",$J468+$K468-$P468)</f>
        <v/>
      </c>
      <c r="R468" s="40" t="n"/>
      <c r="S468" s="40" t="n"/>
      <c r="T468" s="40" t="n"/>
    </row>
    <row r="469">
      <c r="A469" s="48" t="n"/>
      <c r="B469" s="34" t="n"/>
      <c r="C469" s="34" t="n"/>
      <c r="D469" s="15">
        <f>IF($C469="","",IFERROR(INDEX(Inventory!$B$4:$B$253,MATCH($C469,Inventory!$A$4:$A$253,0))&amp;" "&amp;INDEX(Inventory!$C$4:$C$253,MATCH($C469,Inventory!$A$4:$A$253,0)),"SKU not in Inventory"))</f>
        <v/>
      </c>
      <c r="E469" s="36" t="n"/>
      <c r="F469" s="35" t="n"/>
      <c r="G469" s="35" t="n"/>
      <c r="H469" s="49">
        <f>IF($C469="","",IFERROR(INDEX(Inventory!$H$4:$H$253,MATCH($C469,Inventory!$A$4:$A$253,0)),0))</f>
        <v/>
      </c>
      <c r="I469" s="34" t="n"/>
      <c r="J469" s="38">
        <f>IF($C469="","",MAX(0,$E469*$F469-$G469))</f>
        <v/>
      </c>
      <c r="K469" s="38">
        <f>IF(OR($C469="",$I469="No"),0,ROUND($J469*IFERROR(INDEX(Shows!$F$4:$F$23,MATCH($B469,Shows!$A$4:$A$23,0)),0),2))</f>
        <v/>
      </c>
      <c r="L469" s="38">
        <f>IF($C469="","",$E469*$H469)</f>
        <v/>
      </c>
      <c r="M469" s="38">
        <f>IF($C469="","",$J469-$L469-$P469)</f>
        <v/>
      </c>
      <c r="N469" s="34" t="n"/>
      <c r="O469" s="34" t="n"/>
      <c r="P469" s="38">
        <f>IF(OR($C469="",$N469&lt;&gt;"Card"),0,ROUND(($J469+$K469)*IFERROR(INDEX(Shows!$G$4:$G$23,MATCH($B469,Shows!$A$4:$A$23,0)),0)+IFERROR(INDEX(Shows!$H$4:$H$23,MATCH($B469,Shows!$A$4:$A$23,0)),0),2))</f>
        <v/>
      </c>
      <c r="Q469" s="38">
        <f>IF($C469="","",$J469+$K469-$P469)</f>
        <v/>
      </c>
      <c r="R469" s="34" t="n"/>
      <c r="S469" s="34" t="n"/>
      <c r="T469" s="34" t="n"/>
    </row>
    <row r="470">
      <c r="A470" s="46" t="n"/>
      <c r="B470" s="40" t="n"/>
      <c r="C470" s="40" t="n"/>
      <c r="D470" s="11">
        <f>IF($C470="","",IFERROR(INDEX(Inventory!$B$4:$B$253,MATCH($C470,Inventory!$A$4:$A$253,0))&amp;" "&amp;INDEX(Inventory!$C$4:$C$253,MATCH($C470,Inventory!$A$4:$A$253,0)),"SKU not in Inventory"))</f>
        <v/>
      </c>
      <c r="E470" s="42" t="n"/>
      <c r="F470" s="41" t="n"/>
      <c r="G470" s="41" t="n"/>
      <c r="H470" s="47">
        <f>IF($C470="","",IFERROR(INDEX(Inventory!$H$4:$H$253,MATCH($C470,Inventory!$A$4:$A$253,0)),0))</f>
        <v/>
      </c>
      <c r="I470" s="40" t="n"/>
      <c r="J470" s="44">
        <f>IF($C470="","",MAX(0,$E470*$F470-$G470))</f>
        <v/>
      </c>
      <c r="K470" s="44">
        <f>IF(OR($C470="",$I470="No"),0,ROUND($J470*IFERROR(INDEX(Shows!$F$4:$F$23,MATCH($B470,Shows!$A$4:$A$23,0)),0),2))</f>
        <v/>
      </c>
      <c r="L470" s="44">
        <f>IF($C470="","",$E470*$H470)</f>
        <v/>
      </c>
      <c r="M470" s="44">
        <f>IF($C470="","",$J470-$L470-$P470)</f>
        <v/>
      </c>
      <c r="N470" s="40" t="n"/>
      <c r="O470" s="40" t="n"/>
      <c r="P470" s="44">
        <f>IF(OR($C470="",$N470&lt;&gt;"Card"),0,ROUND(($J470+$K470)*IFERROR(INDEX(Shows!$G$4:$G$23,MATCH($B470,Shows!$A$4:$A$23,0)),0)+IFERROR(INDEX(Shows!$H$4:$H$23,MATCH($B470,Shows!$A$4:$A$23,0)),0),2))</f>
        <v/>
      </c>
      <c r="Q470" s="44">
        <f>IF($C470="","",$J470+$K470-$P470)</f>
        <v/>
      </c>
      <c r="R470" s="40" t="n"/>
      <c r="S470" s="40" t="n"/>
      <c r="T470" s="40" t="n"/>
    </row>
    <row r="471">
      <c r="A471" s="48" t="n"/>
      <c r="B471" s="34" t="n"/>
      <c r="C471" s="34" t="n"/>
      <c r="D471" s="15">
        <f>IF($C471="","",IFERROR(INDEX(Inventory!$B$4:$B$253,MATCH($C471,Inventory!$A$4:$A$253,0))&amp;" "&amp;INDEX(Inventory!$C$4:$C$253,MATCH($C471,Inventory!$A$4:$A$253,0)),"SKU not in Inventory"))</f>
        <v/>
      </c>
      <c r="E471" s="36" t="n"/>
      <c r="F471" s="35" t="n"/>
      <c r="G471" s="35" t="n"/>
      <c r="H471" s="49">
        <f>IF($C471="","",IFERROR(INDEX(Inventory!$H$4:$H$253,MATCH($C471,Inventory!$A$4:$A$253,0)),0))</f>
        <v/>
      </c>
      <c r="I471" s="34" t="n"/>
      <c r="J471" s="38">
        <f>IF($C471="","",MAX(0,$E471*$F471-$G471))</f>
        <v/>
      </c>
      <c r="K471" s="38">
        <f>IF(OR($C471="",$I471="No"),0,ROUND($J471*IFERROR(INDEX(Shows!$F$4:$F$23,MATCH($B471,Shows!$A$4:$A$23,0)),0),2))</f>
        <v/>
      </c>
      <c r="L471" s="38">
        <f>IF($C471="","",$E471*$H471)</f>
        <v/>
      </c>
      <c r="M471" s="38">
        <f>IF($C471="","",$J471-$L471-$P471)</f>
        <v/>
      </c>
      <c r="N471" s="34" t="n"/>
      <c r="O471" s="34" t="n"/>
      <c r="P471" s="38">
        <f>IF(OR($C471="",$N471&lt;&gt;"Card"),0,ROUND(($J471+$K471)*IFERROR(INDEX(Shows!$G$4:$G$23,MATCH($B471,Shows!$A$4:$A$23,0)),0)+IFERROR(INDEX(Shows!$H$4:$H$23,MATCH($B471,Shows!$A$4:$A$23,0)),0),2))</f>
        <v/>
      </c>
      <c r="Q471" s="38">
        <f>IF($C471="","",$J471+$K471-$P471)</f>
        <v/>
      </c>
      <c r="R471" s="34" t="n"/>
      <c r="S471" s="34" t="n"/>
      <c r="T471" s="34" t="n"/>
    </row>
    <row r="472">
      <c r="A472" s="46" t="n"/>
      <c r="B472" s="40" t="n"/>
      <c r="C472" s="40" t="n"/>
      <c r="D472" s="11">
        <f>IF($C472="","",IFERROR(INDEX(Inventory!$B$4:$B$253,MATCH($C472,Inventory!$A$4:$A$253,0))&amp;" "&amp;INDEX(Inventory!$C$4:$C$253,MATCH($C472,Inventory!$A$4:$A$253,0)),"SKU not in Inventory"))</f>
        <v/>
      </c>
      <c r="E472" s="42" t="n"/>
      <c r="F472" s="41" t="n"/>
      <c r="G472" s="41" t="n"/>
      <c r="H472" s="47">
        <f>IF($C472="","",IFERROR(INDEX(Inventory!$H$4:$H$253,MATCH($C472,Inventory!$A$4:$A$253,0)),0))</f>
        <v/>
      </c>
      <c r="I472" s="40" t="n"/>
      <c r="J472" s="44">
        <f>IF($C472="","",MAX(0,$E472*$F472-$G472))</f>
        <v/>
      </c>
      <c r="K472" s="44">
        <f>IF(OR($C472="",$I472="No"),0,ROUND($J472*IFERROR(INDEX(Shows!$F$4:$F$23,MATCH($B472,Shows!$A$4:$A$23,0)),0),2))</f>
        <v/>
      </c>
      <c r="L472" s="44">
        <f>IF($C472="","",$E472*$H472)</f>
        <v/>
      </c>
      <c r="M472" s="44">
        <f>IF($C472="","",$J472-$L472-$P472)</f>
        <v/>
      </c>
      <c r="N472" s="40" t="n"/>
      <c r="O472" s="40" t="n"/>
      <c r="P472" s="44">
        <f>IF(OR($C472="",$N472&lt;&gt;"Card"),0,ROUND(($J472+$K472)*IFERROR(INDEX(Shows!$G$4:$G$23,MATCH($B472,Shows!$A$4:$A$23,0)),0)+IFERROR(INDEX(Shows!$H$4:$H$23,MATCH($B472,Shows!$A$4:$A$23,0)),0),2))</f>
        <v/>
      </c>
      <c r="Q472" s="44">
        <f>IF($C472="","",$J472+$K472-$P472)</f>
        <v/>
      </c>
      <c r="R472" s="40" t="n"/>
      <c r="S472" s="40" t="n"/>
      <c r="T472" s="40" t="n"/>
    </row>
    <row r="473">
      <c r="A473" s="48" t="n"/>
      <c r="B473" s="34" t="n"/>
      <c r="C473" s="34" t="n"/>
      <c r="D473" s="15">
        <f>IF($C473="","",IFERROR(INDEX(Inventory!$B$4:$B$253,MATCH($C473,Inventory!$A$4:$A$253,0))&amp;" "&amp;INDEX(Inventory!$C$4:$C$253,MATCH($C473,Inventory!$A$4:$A$253,0)),"SKU not in Inventory"))</f>
        <v/>
      </c>
      <c r="E473" s="36" t="n"/>
      <c r="F473" s="35" t="n"/>
      <c r="G473" s="35" t="n"/>
      <c r="H473" s="49">
        <f>IF($C473="","",IFERROR(INDEX(Inventory!$H$4:$H$253,MATCH($C473,Inventory!$A$4:$A$253,0)),0))</f>
        <v/>
      </c>
      <c r="I473" s="34" t="n"/>
      <c r="J473" s="38">
        <f>IF($C473="","",MAX(0,$E473*$F473-$G473))</f>
        <v/>
      </c>
      <c r="K473" s="38">
        <f>IF(OR($C473="",$I473="No"),0,ROUND($J473*IFERROR(INDEX(Shows!$F$4:$F$23,MATCH($B473,Shows!$A$4:$A$23,0)),0),2))</f>
        <v/>
      </c>
      <c r="L473" s="38">
        <f>IF($C473="","",$E473*$H473)</f>
        <v/>
      </c>
      <c r="M473" s="38">
        <f>IF($C473="","",$J473-$L473-$P473)</f>
        <v/>
      </c>
      <c r="N473" s="34" t="n"/>
      <c r="O473" s="34" t="n"/>
      <c r="P473" s="38">
        <f>IF(OR($C473="",$N473&lt;&gt;"Card"),0,ROUND(($J473+$K473)*IFERROR(INDEX(Shows!$G$4:$G$23,MATCH($B473,Shows!$A$4:$A$23,0)),0)+IFERROR(INDEX(Shows!$H$4:$H$23,MATCH($B473,Shows!$A$4:$A$23,0)),0),2))</f>
        <v/>
      </c>
      <c r="Q473" s="38">
        <f>IF($C473="","",$J473+$K473-$P473)</f>
        <v/>
      </c>
      <c r="R473" s="34" t="n"/>
      <c r="S473" s="34" t="n"/>
      <c r="T473" s="34" t="n"/>
    </row>
    <row r="474">
      <c r="A474" s="46" t="n"/>
      <c r="B474" s="40" t="n"/>
      <c r="C474" s="40" t="n"/>
      <c r="D474" s="11">
        <f>IF($C474="","",IFERROR(INDEX(Inventory!$B$4:$B$253,MATCH($C474,Inventory!$A$4:$A$253,0))&amp;" "&amp;INDEX(Inventory!$C$4:$C$253,MATCH($C474,Inventory!$A$4:$A$253,0)),"SKU not in Inventory"))</f>
        <v/>
      </c>
      <c r="E474" s="42" t="n"/>
      <c r="F474" s="41" t="n"/>
      <c r="G474" s="41" t="n"/>
      <c r="H474" s="47">
        <f>IF($C474="","",IFERROR(INDEX(Inventory!$H$4:$H$253,MATCH($C474,Inventory!$A$4:$A$253,0)),0))</f>
        <v/>
      </c>
      <c r="I474" s="40" t="n"/>
      <c r="J474" s="44">
        <f>IF($C474="","",MAX(0,$E474*$F474-$G474))</f>
        <v/>
      </c>
      <c r="K474" s="44">
        <f>IF(OR($C474="",$I474="No"),0,ROUND($J474*IFERROR(INDEX(Shows!$F$4:$F$23,MATCH($B474,Shows!$A$4:$A$23,0)),0),2))</f>
        <v/>
      </c>
      <c r="L474" s="44">
        <f>IF($C474="","",$E474*$H474)</f>
        <v/>
      </c>
      <c r="M474" s="44">
        <f>IF($C474="","",$J474-$L474-$P474)</f>
        <v/>
      </c>
      <c r="N474" s="40" t="n"/>
      <c r="O474" s="40" t="n"/>
      <c r="P474" s="44">
        <f>IF(OR($C474="",$N474&lt;&gt;"Card"),0,ROUND(($J474+$K474)*IFERROR(INDEX(Shows!$G$4:$G$23,MATCH($B474,Shows!$A$4:$A$23,0)),0)+IFERROR(INDEX(Shows!$H$4:$H$23,MATCH($B474,Shows!$A$4:$A$23,0)),0),2))</f>
        <v/>
      </c>
      <c r="Q474" s="44">
        <f>IF($C474="","",$J474+$K474-$P474)</f>
        <v/>
      </c>
      <c r="R474" s="40" t="n"/>
      <c r="S474" s="40" t="n"/>
      <c r="T474" s="40" t="n"/>
    </row>
    <row r="475">
      <c r="A475" s="48" t="n"/>
      <c r="B475" s="34" t="n"/>
      <c r="C475" s="34" t="n"/>
      <c r="D475" s="15">
        <f>IF($C475="","",IFERROR(INDEX(Inventory!$B$4:$B$253,MATCH($C475,Inventory!$A$4:$A$253,0))&amp;" "&amp;INDEX(Inventory!$C$4:$C$253,MATCH($C475,Inventory!$A$4:$A$253,0)),"SKU not in Inventory"))</f>
        <v/>
      </c>
      <c r="E475" s="36" t="n"/>
      <c r="F475" s="35" t="n"/>
      <c r="G475" s="35" t="n"/>
      <c r="H475" s="49">
        <f>IF($C475="","",IFERROR(INDEX(Inventory!$H$4:$H$253,MATCH($C475,Inventory!$A$4:$A$253,0)),0))</f>
        <v/>
      </c>
      <c r="I475" s="34" t="n"/>
      <c r="J475" s="38">
        <f>IF($C475="","",MAX(0,$E475*$F475-$G475))</f>
        <v/>
      </c>
      <c r="K475" s="38">
        <f>IF(OR($C475="",$I475="No"),0,ROUND($J475*IFERROR(INDEX(Shows!$F$4:$F$23,MATCH($B475,Shows!$A$4:$A$23,0)),0),2))</f>
        <v/>
      </c>
      <c r="L475" s="38">
        <f>IF($C475="","",$E475*$H475)</f>
        <v/>
      </c>
      <c r="M475" s="38">
        <f>IF($C475="","",$J475-$L475-$P475)</f>
        <v/>
      </c>
      <c r="N475" s="34" t="n"/>
      <c r="O475" s="34" t="n"/>
      <c r="P475" s="38">
        <f>IF(OR($C475="",$N475&lt;&gt;"Card"),0,ROUND(($J475+$K475)*IFERROR(INDEX(Shows!$G$4:$G$23,MATCH($B475,Shows!$A$4:$A$23,0)),0)+IFERROR(INDEX(Shows!$H$4:$H$23,MATCH($B475,Shows!$A$4:$A$23,0)),0),2))</f>
        <v/>
      </c>
      <c r="Q475" s="38">
        <f>IF($C475="","",$J475+$K475-$P475)</f>
        <v/>
      </c>
      <c r="R475" s="34" t="n"/>
      <c r="S475" s="34" t="n"/>
      <c r="T475" s="34" t="n"/>
    </row>
    <row r="476">
      <c r="A476" s="46" t="n"/>
      <c r="B476" s="40" t="n"/>
      <c r="C476" s="40" t="n"/>
      <c r="D476" s="11">
        <f>IF($C476="","",IFERROR(INDEX(Inventory!$B$4:$B$253,MATCH($C476,Inventory!$A$4:$A$253,0))&amp;" "&amp;INDEX(Inventory!$C$4:$C$253,MATCH($C476,Inventory!$A$4:$A$253,0)),"SKU not in Inventory"))</f>
        <v/>
      </c>
      <c r="E476" s="42" t="n"/>
      <c r="F476" s="41" t="n"/>
      <c r="G476" s="41" t="n"/>
      <c r="H476" s="47">
        <f>IF($C476="","",IFERROR(INDEX(Inventory!$H$4:$H$253,MATCH($C476,Inventory!$A$4:$A$253,0)),0))</f>
        <v/>
      </c>
      <c r="I476" s="40" t="n"/>
      <c r="J476" s="44">
        <f>IF($C476="","",MAX(0,$E476*$F476-$G476))</f>
        <v/>
      </c>
      <c r="K476" s="44">
        <f>IF(OR($C476="",$I476="No"),0,ROUND($J476*IFERROR(INDEX(Shows!$F$4:$F$23,MATCH($B476,Shows!$A$4:$A$23,0)),0),2))</f>
        <v/>
      </c>
      <c r="L476" s="44">
        <f>IF($C476="","",$E476*$H476)</f>
        <v/>
      </c>
      <c r="M476" s="44">
        <f>IF($C476="","",$J476-$L476-$P476)</f>
        <v/>
      </c>
      <c r="N476" s="40" t="n"/>
      <c r="O476" s="40" t="n"/>
      <c r="P476" s="44">
        <f>IF(OR($C476="",$N476&lt;&gt;"Card"),0,ROUND(($J476+$K476)*IFERROR(INDEX(Shows!$G$4:$G$23,MATCH($B476,Shows!$A$4:$A$23,0)),0)+IFERROR(INDEX(Shows!$H$4:$H$23,MATCH($B476,Shows!$A$4:$A$23,0)),0),2))</f>
        <v/>
      </c>
      <c r="Q476" s="44">
        <f>IF($C476="","",$J476+$K476-$P476)</f>
        <v/>
      </c>
      <c r="R476" s="40" t="n"/>
      <c r="S476" s="40" t="n"/>
      <c r="T476" s="40" t="n"/>
    </row>
    <row r="477">
      <c r="A477" s="48" t="n"/>
      <c r="B477" s="34" t="n"/>
      <c r="C477" s="34" t="n"/>
      <c r="D477" s="15">
        <f>IF($C477="","",IFERROR(INDEX(Inventory!$B$4:$B$253,MATCH($C477,Inventory!$A$4:$A$253,0))&amp;" "&amp;INDEX(Inventory!$C$4:$C$253,MATCH($C477,Inventory!$A$4:$A$253,0)),"SKU not in Inventory"))</f>
        <v/>
      </c>
      <c r="E477" s="36" t="n"/>
      <c r="F477" s="35" t="n"/>
      <c r="G477" s="35" t="n"/>
      <c r="H477" s="49">
        <f>IF($C477="","",IFERROR(INDEX(Inventory!$H$4:$H$253,MATCH($C477,Inventory!$A$4:$A$253,0)),0))</f>
        <v/>
      </c>
      <c r="I477" s="34" t="n"/>
      <c r="J477" s="38">
        <f>IF($C477="","",MAX(0,$E477*$F477-$G477))</f>
        <v/>
      </c>
      <c r="K477" s="38">
        <f>IF(OR($C477="",$I477="No"),0,ROUND($J477*IFERROR(INDEX(Shows!$F$4:$F$23,MATCH($B477,Shows!$A$4:$A$23,0)),0),2))</f>
        <v/>
      </c>
      <c r="L477" s="38">
        <f>IF($C477="","",$E477*$H477)</f>
        <v/>
      </c>
      <c r="M477" s="38">
        <f>IF($C477="","",$J477-$L477-$P477)</f>
        <v/>
      </c>
      <c r="N477" s="34" t="n"/>
      <c r="O477" s="34" t="n"/>
      <c r="P477" s="38">
        <f>IF(OR($C477="",$N477&lt;&gt;"Card"),0,ROUND(($J477+$K477)*IFERROR(INDEX(Shows!$G$4:$G$23,MATCH($B477,Shows!$A$4:$A$23,0)),0)+IFERROR(INDEX(Shows!$H$4:$H$23,MATCH($B477,Shows!$A$4:$A$23,0)),0),2))</f>
        <v/>
      </c>
      <c r="Q477" s="38">
        <f>IF($C477="","",$J477+$K477-$P477)</f>
        <v/>
      </c>
      <c r="R477" s="34" t="n"/>
      <c r="S477" s="34" t="n"/>
      <c r="T477" s="34" t="n"/>
    </row>
    <row r="478">
      <c r="A478" s="46" t="n"/>
      <c r="B478" s="40" t="n"/>
      <c r="C478" s="40" t="n"/>
      <c r="D478" s="11">
        <f>IF($C478="","",IFERROR(INDEX(Inventory!$B$4:$B$253,MATCH($C478,Inventory!$A$4:$A$253,0))&amp;" "&amp;INDEX(Inventory!$C$4:$C$253,MATCH($C478,Inventory!$A$4:$A$253,0)),"SKU not in Inventory"))</f>
        <v/>
      </c>
      <c r="E478" s="42" t="n"/>
      <c r="F478" s="41" t="n"/>
      <c r="G478" s="41" t="n"/>
      <c r="H478" s="47">
        <f>IF($C478="","",IFERROR(INDEX(Inventory!$H$4:$H$253,MATCH($C478,Inventory!$A$4:$A$253,0)),0))</f>
        <v/>
      </c>
      <c r="I478" s="40" t="n"/>
      <c r="J478" s="44">
        <f>IF($C478="","",MAX(0,$E478*$F478-$G478))</f>
        <v/>
      </c>
      <c r="K478" s="44">
        <f>IF(OR($C478="",$I478="No"),0,ROUND($J478*IFERROR(INDEX(Shows!$F$4:$F$23,MATCH($B478,Shows!$A$4:$A$23,0)),0),2))</f>
        <v/>
      </c>
      <c r="L478" s="44">
        <f>IF($C478="","",$E478*$H478)</f>
        <v/>
      </c>
      <c r="M478" s="44">
        <f>IF($C478="","",$J478-$L478-$P478)</f>
        <v/>
      </c>
      <c r="N478" s="40" t="n"/>
      <c r="O478" s="40" t="n"/>
      <c r="P478" s="44">
        <f>IF(OR($C478="",$N478&lt;&gt;"Card"),0,ROUND(($J478+$K478)*IFERROR(INDEX(Shows!$G$4:$G$23,MATCH($B478,Shows!$A$4:$A$23,0)),0)+IFERROR(INDEX(Shows!$H$4:$H$23,MATCH($B478,Shows!$A$4:$A$23,0)),0),2))</f>
        <v/>
      </c>
      <c r="Q478" s="44">
        <f>IF($C478="","",$J478+$K478-$P478)</f>
        <v/>
      </c>
      <c r="R478" s="40" t="n"/>
      <c r="S478" s="40" t="n"/>
      <c r="T478" s="40" t="n"/>
    </row>
    <row r="479">
      <c r="A479" s="48" t="n"/>
      <c r="B479" s="34" t="n"/>
      <c r="C479" s="34" t="n"/>
      <c r="D479" s="15">
        <f>IF($C479="","",IFERROR(INDEX(Inventory!$B$4:$B$253,MATCH($C479,Inventory!$A$4:$A$253,0))&amp;" "&amp;INDEX(Inventory!$C$4:$C$253,MATCH($C479,Inventory!$A$4:$A$253,0)),"SKU not in Inventory"))</f>
        <v/>
      </c>
      <c r="E479" s="36" t="n"/>
      <c r="F479" s="35" t="n"/>
      <c r="G479" s="35" t="n"/>
      <c r="H479" s="49">
        <f>IF($C479="","",IFERROR(INDEX(Inventory!$H$4:$H$253,MATCH($C479,Inventory!$A$4:$A$253,0)),0))</f>
        <v/>
      </c>
      <c r="I479" s="34" t="n"/>
      <c r="J479" s="38">
        <f>IF($C479="","",MAX(0,$E479*$F479-$G479))</f>
        <v/>
      </c>
      <c r="K479" s="38">
        <f>IF(OR($C479="",$I479="No"),0,ROUND($J479*IFERROR(INDEX(Shows!$F$4:$F$23,MATCH($B479,Shows!$A$4:$A$23,0)),0),2))</f>
        <v/>
      </c>
      <c r="L479" s="38">
        <f>IF($C479="","",$E479*$H479)</f>
        <v/>
      </c>
      <c r="M479" s="38">
        <f>IF($C479="","",$J479-$L479-$P479)</f>
        <v/>
      </c>
      <c r="N479" s="34" t="n"/>
      <c r="O479" s="34" t="n"/>
      <c r="P479" s="38">
        <f>IF(OR($C479="",$N479&lt;&gt;"Card"),0,ROUND(($J479+$K479)*IFERROR(INDEX(Shows!$G$4:$G$23,MATCH($B479,Shows!$A$4:$A$23,0)),0)+IFERROR(INDEX(Shows!$H$4:$H$23,MATCH($B479,Shows!$A$4:$A$23,0)),0),2))</f>
        <v/>
      </c>
      <c r="Q479" s="38">
        <f>IF($C479="","",$J479+$K479-$P479)</f>
        <v/>
      </c>
      <c r="R479" s="34" t="n"/>
      <c r="S479" s="34" t="n"/>
      <c r="T479" s="34" t="n"/>
    </row>
    <row r="480">
      <c r="A480" s="46" t="n"/>
      <c r="B480" s="40" t="n"/>
      <c r="C480" s="40" t="n"/>
      <c r="D480" s="11">
        <f>IF($C480="","",IFERROR(INDEX(Inventory!$B$4:$B$253,MATCH($C480,Inventory!$A$4:$A$253,0))&amp;" "&amp;INDEX(Inventory!$C$4:$C$253,MATCH($C480,Inventory!$A$4:$A$253,0)),"SKU not in Inventory"))</f>
        <v/>
      </c>
      <c r="E480" s="42" t="n"/>
      <c r="F480" s="41" t="n"/>
      <c r="G480" s="41" t="n"/>
      <c r="H480" s="47">
        <f>IF($C480="","",IFERROR(INDEX(Inventory!$H$4:$H$253,MATCH($C480,Inventory!$A$4:$A$253,0)),0))</f>
        <v/>
      </c>
      <c r="I480" s="40" t="n"/>
      <c r="J480" s="44">
        <f>IF($C480="","",MAX(0,$E480*$F480-$G480))</f>
        <v/>
      </c>
      <c r="K480" s="44">
        <f>IF(OR($C480="",$I480="No"),0,ROUND($J480*IFERROR(INDEX(Shows!$F$4:$F$23,MATCH($B480,Shows!$A$4:$A$23,0)),0),2))</f>
        <v/>
      </c>
      <c r="L480" s="44">
        <f>IF($C480="","",$E480*$H480)</f>
        <v/>
      </c>
      <c r="M480" s="44">
        <f>IF($C480="","",$J480-$L480-$P480)</f>
        <v/>
      </c>
      <c r="N480" s="40" t="n"/>
      <c r="O480" s="40" t="n"/>
      <c r="P480" s="44">
        <f>IF(OR($C480="",$N480&lt;&gt;"Card"),0,ROUND(($J480+$K480)*IFERROR(INDEX(Shows!$G$4:$G$23,MATCH($B480,Shows!$A$4:$A$23,0)),0)+IFERROR(INDEX(Shows!$H$4:$H$23,MATCH($B480,Shows!$A$4:$A$23,0)),0),2))</f>
        <v/>
      </c>
      <c r="Q480" s="44">
        <f>IF($C480="","",$J480+$K480-$P480)</f>
        <v/>
      </c>
      <c r="R480" s="40" t="n"/>
      <c r="S480" s="40" t="n"/>
      <c r="T480" s="40" t="n"/>
    </row>
    <row r="481">
      <c r="A481" s="48" t="n"/>
      <c r="B481" s="34" t="n"/>
      <c r="C481" s="34" t="n"/>
      <c r="D481" s="15">
        <f>IF($C481="","",IFERROR(INDEX(Inventory!$B$4:$B$253,MATCH($C481,Inventory!$A$4:$A$253,0))&amp;" "&amp;INDEX(Inventory!$C$4:$C$253,MATCH($C481,Inventory!$A$4:$A$253,0)),"SKU not in Inventory"))</f>
        <v/>
      </c>
      <c r="E481" s="36" t="n"/>
      <c r="F481" s="35" t="n"/>
      <c r="G481" s="35" t="n"/>
      <c r="H481" s="49">
        <f>IF($C481="","",IFERROR(INDEX(Inventory!$H$4:$H$253,MATCH($C481,Inventory!$A$4:$A$253,0)),0))</f>
        <v/>
      </c>
      <c r="I481" s="34" t="n"/>
      <c r="J481" s="38">
        <f>IF($C481="","",MAX(0,$E481*$F481-$G481))</f>
        <v/>
      </c>
      <c r="K481" s="38">
        <f>IF(OR($C481="",$I481="No"),0,ROUND($J481*IFERROR(INDEX(Shows!$F$4:$F$23,MATCH($B481,Shows!$A$4:$A$23,0)),0),2))</f>
        <v/>
      </c>
      <c r="L481" s="38">
        <f>IF($C481="","",$E481*$H481)</f>
        <v/>
      </c>
      <c r="M481" s="38">
        <f>IF($C481="","",$J481-$L481-$P481)</f>
        <v/>
      </c>
      <c r="N481" s="34" t="n"/>
      <c r="O481" s="34" t="n"/>
      <c r="P481" s="38">
        <f>IF(OR($C481="",$N481&lt;&gt;"Card"),0,ROUND(($J481+$K481)*IFERROR(INDEX(Shows!$G$4:$G$23,MATCH($B481,Shows!$A$4:$A$23,0)),0)+IFERROR(INDEX(Shows!$H$4:$H$23,MATCH($B481,Shows!$A$4:$A$23,0)),0),2))</f>
        <v/>
      </c>
      <c r="Q481" s="38">
        <f>IF($C481="","",$J481+$K481-$P481)</f>
        <v/>
      </c>
      <c r="R481" s="34" t="n"/>
      <c r="S481" s="34" t="n"/>
      <c r="T481" s="34" t="n"/>
    </row>
    <row r="482">
      <c r="A482" s="46" t="n"/>
      <c r="B482" s="40" t="n"/>
      <c r="C482" s="40" t="n"/>
      <c r="D482" s="11">
        <f>IF($C482="","",IFERROR(INDEX(Inventory!$B$4:$B$253,MATCH($C482,Inventory!$A$4:$A$253,0))&amp;" "&amp;INDEX(Inventory!$C$4:$C$253,MATCH($C482,Inventory!$A$4:$A$253,0)),"SKU not in Inventory"))</f>
        <v/>
      </c>
      <c r="E482" s="42" t="n"/>
      <c r="F482" s="41" t="n"/>
      <c r="G482" s="41" t="n"/>
      <c r="H482" s="47">
        <f>IF($C482="","",IFERROR(INDEX(Inventory!$H$4:$H$253,MATCH($C482,Inventory!$A$4:$A$253,0)),0))</f>
        <v/>
      </c>
      <c r="I482" s="40" t="n"/>
      <c r="J482" s="44">
        <f>IF($C482="","",MAX(0,$E482*$F482-$G482))</f>
        <v/>
      </c>
      <c r="K482" s="44">
        <f>IF(OR($C482="",$I482="No"),0,ROUND($J482*IFERROR(INDEX(Shows!$F$4:$F$23,MATCH($B482,Shows!$A$4:$A$23,0)),0),2))</f>
        <v/>
      </c>
      <c r="L482" s="44">
        <f>IF($C482="","",$E482*$H482)</f>
        <v/>
      </c>
      <c r="M482" s="44">
        <f>IF($C482="","",$J482-$L482-$P482)</f>
        <v/>
      </c>
      <c r="N482" s="40" t="n"/>
      <c r="O482" s="40" t="n"/>
      <c r="P482" s="44">
        <f>IF(OR($C482="",$N482&lt;&gt;"Card"),0,ROUND(($J482+$K482)*IFERROR(INDEX(Shows!$G$4:$G$23,MATCH($B482,Shows!$A$4:$A$23,0)),0)+IFERROR(INDEX(Shows!$H$4:$H$23,MATCH($B482,Shows!$A$4:$A$23,0)),0),2))</f>
        <v/>
      </c>
      <c r="Q482" s="44">
        <f>IF($C482="","",$J482+$K482-$P482)</f>
        <v/>
      </c>
      <c r="R482" s="40" t="n"/>
      <c r="S482" s="40" t="n"/>
      <c r="T482" s="40" t="n"/>
    </row>
    <row r="483">
      <c r="A483" s="48" t="n"/>
      <c r="B483" s="34" t="n"/>
      <c r="C483" s="34" t="n"/>
      <c r="D483" s="15">
        <f>IF($C483="","",IFERROR(INDEX(Inventory!$B$4:$B$253,MATCH($C483,Inventory!$A$4:$A$253,0))&amp;" "&amp;INDEX(Inventory!$C$4:$C$253,MATCH($C483,Inventory!$A$4:$A$253,0)),"SKU not in Inventory"))</f>
        <v/>
      </c>
      <c r="E483" s="36" t="n"/>
      <c r="F483" s="35" t="n"/>
      <c r="G483" s="35" t="n"/>
      <c r="H483" s="49">
        <f>IF($C483="","",IFERROR(INDEX(Inventory!$H$4:$H$253,MATCH($C483,Inventory!$A$4:$A$253,0)),0))</f>
        <v/>
      </c>
      <c r="I483" s="34" t="n"/>
      <c r="J483" s="38">
        <f>IF($C483="","",MAX(0,$E483*$F483-$G483))</f>
        <v/>
      </c>
      <c r="K483" s="38">
        <f>IF(OR($C483="",$I483="No"),0,ROUND($J483*IFERROR(INDEX(Shows!$F$4:$F$23,MATCH($B483,Shows!$A$4:$A$23,0)),0),2))</f>
        <v/>
      </c>
      <c r="L483" s="38">
        <f>IF($C483="","",$E483*$H483)</f>
        <v/>
      </c>
      <c r="M483" s="38">
        <f>IF($C483="","",$J483-$L483-$P483)</f>
        <v/>
      </c>
      <c r="N483" s="34" t="n"/>
      <c r="O483" s="34" t="n"/>
      <c r="P483" s="38">
        <f>IF(OR($C483="",$N483&lt;&gt;"Card"),0,ROUND(($J483+$K483)*IFERROR(INDEX(Shows!$G$4:$G$23,MATCH($B483,Shows!$A$4:$A$23,0)),0)+IFERROR(INDEX(Shows!$H$4:$H$23,MATCH($B483,Shows!$A$4:$A$23,0)),0),2))</f>
        <v/>
      </c>
      <c r="Q483" s="38">
        <f>IF($C483="","",$J483+$K483-$P483)</f>
        <v/>
      </c>
      <c r="R483" s="34" t="n"/>
      <c r="S483" s="34" t="n"/>
      <c r="T483" s="34" t="n"/>
    </row>
    <row r="484">
      <c r="A484" s="46" t="n"/>
      <c r="B484" s="40" t="n"/>
      <c r="C484" s="40" t="n"/>
      <c r="D484" s="11">
        <f>IF($C484="","",IFERROR(INDEX(Inventory!$B$4:$B$253,MATCH($C484,Inventory!$A$4:$A$253,0))&amp;" "&amp;INDEX(Inventory!$C$4:$C$253,MATCH($C484,Inventory!$A$4:$A$253,0)),"SKU not in Inventory"))</f>
        <v/>
      </c>
      <c r="E484" s="42" t="n"/>
      <c r="F484" s="41" t="n"/>
      <c r="G484" s="41" t="n"/>
      <c r="H484" s="47">
        <f>IF($C484="","",IFERROR(INDEX(Inventory!$H$4:$H$253,MATCH($C484,Inventory!$A$4:$A$253,0)),0))</f>
        <v/>
      </c>
      <c r="I484" s="40" t="n"/>
      <c r="J484" s="44">
        <f>IF($C484="","",MAX(0,$E484*$F484-$G484))</f>
        <v/>
      </c>
      <c r="K484" s="44">
        <f>IF(OR($C484="",$I484="No"),0,ROUND($J484*IFERROR(INDEX(Shows!$F$4:$F$23,MATCH($B484,Shows!$A$4:$A$23,0)),0),2))</f>
        <v/>
      </c>
      <c r="L484" s="44">
        <f>IF($C484="","",$E484*$H484)</f>
        <v/>
      </c>
      <c r="M484" s="44">
        <f>IF($C484="","",$J484-$L484-$P484)</f>
        <v/>
      </c>
      <c r="N484" s="40" t="n"/>
      <c r="O484" s="40" t="n"/>
      <c r="P484" s="44">
        <f>IF(OR($C484="",$N484&lt;&gt;"Card"),0,ROUND(($J484+$K484)*IFERROR(INDEX(Shows!$G$4:$G$23,MATCH($B484,Shows!$A$4:$A$23,0)),0)+IFERROR(INDEX(Shows!$H$4:$H$23,MATCH($B484,Shows!$A$4:$A$23,0)),0),2))</f>
        <v/>
      </c>
      <c r="Q484" s="44">
        <f>IF($C484="","",$J484+$K484-$P484)</f>
        <v/>
      </c>
      <c r="R484" s="40" t="n"/>
      <c r="S484" s="40" t="n"/>
      <c r="T484" s="40" t="n"/>
    </row>
    <row r="485">
      <c r="A485" s="48" t="n"/>
      <c r="B485" s="34" t="n"/>
      <c r="C485" s="34" t="n"/>
      <c r="D485" s="15">
        <f>IF($C485="","",IFERROR(INDEX(Inventory!$B$4:$B$253,MATCH($C485,Inventory!$A$4:$A$253,0))&amp;" "&amp;INDEX(Inventory!$C$4:$C$253,MATCH($C485,Inventory!$A$4:$A$253,0)),"SKU not in Inventory"))</f>
        <v/>
      </c>
      <c r="E485" s="36" t="n"/>
      <c r="F485" s="35" t="n"/>
      <c r="G485" s="35" t="n"/>
      <c r="H485" s="49">
        <f>IF($C485="","",IFERROR(INDEX(Inventory!$H$4:$H$253,MATCH($C485,Inventory!$A$4:$A$253,0)),0))</f>
        <v/>
      </c>
      <c r="I485" s="34" t="n"/>
      <c r="J485" s="38">
        <f>IF($C485="","",MAX(0,$E485*$F485-$G485))</f>
        <v/>
      </c>
      <c r="K485" s="38">
        <f>IF(OR($C485="",$I485="No"),0,ROUND($J485*IFERROR(INDEX(Shows!$F$4:$F$23,MATCH($B485,Shows!$A$4:$A$23,0)),0),2))</f>
        <v/>
      </c>
      <c r="L485" s="38">
        <f>IF($C485="","",$E485*$H485)</f>
        <v/>
      </c>
      <c r="M485" s="38">
        <f>IF($C485="","",$J485-$L485-$P485)</f>
        <v/>
      </c>
      <c r="N485" s="34" t="n"/>
      <c r="O485" s="34" t="n"/>
      <c r="P485" s="38">
        <f>IF(OR($C485="",$N485&lt;&gt;"Card"),0,ROUND(($J485+$K485)*IFERROR(INDEX(Shows!$G$4:$G$23,MATCH($B485,Shows!$A$4:$A$23,0)),0)+IFERROR(INDEX(Shows!$H$4:$H$23,MATCH($B485,Shows!$A$4:$A$23,0)),0),2))</f>
        <v/>
      </c>
      <c r="Q485" s="38">
        <f>IF($C485="","",$J485+$K485-$P485)</f>
        <v/>
      </c>
      <c r="R485" s="34" t="n"/>
      <c r="S485" s="34" t="n"/>
      <c r="T485" s="34" t="n"/>
    </row>
    <row r="486">
      <c r="A486" s="46" t="n"/>
      <c r="B486" s="40" t="n"/>
      <c r="C486" s="40" t="n"/>
      <c r="D486" s="11">
        <f>IF($C486="","",IFERROR(INDEX(Inventory!$B$4:$B$253,MATCH($C486,Inventory!$A$4:$A$253,0))&amp;" "&amp;INDEX(Inventory!$C$4:$C$253,MATCH($C486,Inventory!$A$4:$A$253,0)),"SKU not in Inventory"))</f>
        <v/>
      </c>
      <c r="E486" s="42" t="n"/>
      <c r="F486" s="41" t="n"/>
      <c r="G486" s="41" t="n"/>
      <c r="H486" s="47">
        <f>IF($C486="","",IFERROR(INDEX(Inventory!$H$4:$H$253,MATCH($C486,Inventory!$A$4:$A$253,0)),0))</f>
        <v/>
      </c>
      <c r="I486" s="40" t="n"/>
      <c r="J486" s="44">
        <f>IF($C486="","",MAX(0,$E486*$F486-$G486))</f>
        <v/>
      </c>
      <c r="K486" s="44">
        <f>IF(OR($C486="",$I486="No"),0,ROUND($J486*IFERROR(INDEX(Shows!$F$4:$F$23,MATCH($B486,Shows!$A$4:$A$23,0)),0),2))</f>
        <v/>
      </c>
      <c r="L486" s="44">
        <f>IF($C486="","",$E486*$H486)</f>
        <v/>
      </c>
      <c r="M486" s="44">
        <f>IF($C486="","",$J486-$L486-$P486)</f>
        <v/>
      </c>
      <c r="N486" s="40" t="n"/>
      <c r="O486" s="40" t="n"/>
      <c r="P486" s="44">
        <f>IF(OR($C486="",$N486&lt;&gt;"Card"),0,ROUND(($J486+$K486)*IFERROR(INDEX(Shows!$G$4:$G$23,MATCH($B486,Shows!$A$4:$A$23,0)),0)+IFERROR(INDEX(Shows!$H$4:$H$23,MATCH($B486,Shows!$A$4:$A$23,0)),0),2))</f>
        <v/>
      </c>
      <c r="Q486" s="44">
        <f>IF($C486="","",$J486+$K486-$P486)</f>
        <v/>
      </c>
      <c r="R486" s="40" t="n"/>
      <c r="S486" s="40" t="n"/>
      <c r="T486" s="40" t="n"/>
    </row>
    <row r="487">
      <c r="A487" s="48" t="n"/>
      <c r="B487" s="34" t="n"/>
      <c r="C487" s="34" t="n"/>
      <c r="D487" s="15">
        <f>IF($C487="","",IFERROR(INDEX(Inventory!$B$4:$B$253,MATCH($C487,Inventory!$A$4:$A$253,0))&amp;" "&amp;INDEX(Inventory!$C$4:$C$253,MATCH($C487,Inventory!$A$4:$A$253,0)),"SKU not in Inventory"))</f>
        <v/>
      </c>
      <c r="E487" s="36" t="n"/>
      <c r="F487" s="35" t="n"/>
      <c r="G487" s="35" t="n"/>
      <c r="H487" s="49">
        <f>IF($C487="","",IFERROR(INDEX(Inventory!$H$4:$H$253,MATCH($C487,Inventory!$A$4:$A$253,0)),0))</f>
        <v/>
      </c>
      <c r="I487" s="34" t="n"/>
      <c r="J487" s="38">
        <f>IF($C487="","",MAX(0,$E487*$F487-$G487))</f>
        <v/>
      </c>
      <c r="K487" s="38">
        <f>IF(OR($C487="",$I487="No"),0,ROUND($J487*IFERROR(INDEX(Shows!$F$4:$F$23,MATCH($B487,Shows!$A$4:$A$23,0)),0),2))</f>
        <v/>
      </c>
      <c r="L487" s="38">
        <f>IF($C487="","",$E487*$H487)</f>
        <v/>
      </c>
      <c r="M487" s="38">
        <f>IF($C487="","",$J487-$L487-$P487)</f>
        <v/>
      </c>
      <c r="N487" s="34" t="n"/>
      <c r="O487" s="34" t="n"/>
      <c r="P487" s="38">
        <f>IF(OR($C487="",$N487&lt;&gt;"Card"),0,ROUND(($J487+$K487)*IFERROR(INDEX(Shows!$G$4:$G$23,MATCH($B487,Shows!$A$4:$A$23,0)),0)+IFERROR(INDEX(Shows!$H$4:$H$23,MATCH($B487,Shows!$A$4:$A$23,0)),0),2))</f>
        <v/>
      </c>
      <c r="Q487" s="38">
        <f>IF($C487="","",$J487+$K487-$P487)</f>
        <v/>
      </c>
      <c r="R487" s="34" t="n"/>
      <c r="S487" s="34" t="n"/>
      <c r="T487" s="34" t="n"/>
    </row>
    <row r="488">
      <c r="A488" s="46" t="n"/>
      <c r="B488" s="40" t="n"/>
      <c r="C488" s="40" t="n"/>
      <c r="D488" s="11">
        <f>IF($C488="","",IFERROR(INDEX(Inventory!$B$4:$B$253,MATCH($C488,Inventory!$A$4:$A$253,0))&amp;" "&amp;INDEX(Inventory!$C$4:$C$253,MATCH($C488,Inventory!$A$4:$A$253,0)),"SKU not in Inventory"))</f>
        <v/>
      </c>
      <c r="E488" s="42" t="n"/>
      <c r="F488" s="41" t="n"/>
      <c r="G488" s="41" t="n"/>
      <c r="H488" s="47">
        <f>IF($C488="","",IFERROR(INDEX(Inventory!$H$4:$H$253,MATCH($C488,Inventory!$A$4:$A$253,0)),0))</f>
        <v/>
      </c>
      <c r="I488" s="40" t="n"/>
      <c r="J488" s="44">
        <f>IF($C488="","",MAX(0,$E488*$F488-$G488))</f>
        <v/>
      </c>
      <c r="K488" s="44">
        <f>IF(OR($C488="",$I488="No"),0,ROUND($J488*IFERROR(INDEX(Shows!$F$4:$F$23,MATCH($B488,Shows!$A$4:$A$23,0)),0),2))</f>
        <v/>
      </c>
      <c r="L488" s="44">
        <f>IF($C488="","",$E488*$H488)</f>
        <v/>
      </c>
      <c r="M488" s="44">
        <f>IF($C488="","",$J488-$L488-$P488)</f>
        <v/>
      </c>
      <c r="N488" s="40" t="n"/>
      <c r="O488" s="40" t="n"/>
      <c r="P488" s="44">
        <f>IF(OR($C488="",$N488&lt;&gt;"Card"),0,ROUND(($J488+$K488)*IFERROR(INDEX(Shows!$G$4:$G$23,MATCH($B488,Shows!$A$4:$A$23,0)),0)+IFERROR(INDEX(Shows!$H$4:$H$23,MATCH($B488,Shows!$A$4:$A$23,0)),0),2))</f>
        <v/>
      </c>
      <c r="Q488" s="44">
        <f>IF($C488="","",$J488+$K488-$P488)</f>
        <v/>
      </c>
      <c r="R488" s="40" t="n"/>
      <c r="S488" s="40" t="n"/>
      <c r="T488" s="40" t="n"/>
    </row>
    <row r="489">
      <c r="A489" s="48" t="n"/>
      <c r="B489" s="34" t="n"/>
      <c r="C489" s="34" t="n"/>
      <c r="D489" s="15">
        <f>IF($C489="","",IFERROR(INDEX(Inventory!$B$4:$B$253,MATCH($C489,Inventory!$A$4:$A$253,0))&amp;" "&amp;INDEX(Inventory!$C$4:$C$253,MATCH($C489,Inventory!$A$4:$A$253,0)),"SKU not in Inventory"))</f>
        <v/>
      </c>
      <c r="E489" s="36" t="n"/>
      <c r="F489" s="35" t="n"/>
      <c r="G489" s="35" t="n"/>
      <c r="H489" s="49">
        <f>IF($C489="","",IFERROR(INDEX(Inventory!$H$4:$H$253,MATCH($C489,Inventory!$A$4:$A$253,0)),0))</f>
        <v/>
      </c>
      <c r="I489" s="34" t="n"/>
      <c r="J489" s="38">
        <f>IF($C489="","",MAX(0,$E489*$F489-$G489))</f>
        <v/>
      </c>
      <c r="K489" s="38">
        <f>IF(OR($C489="",$I489="No"),0,ROUND($J489*IFERROR(INDEX(Shows!$F$4:$F$23,MATCH($B489,Shows!$A$4:$A$23,0)),0),2))</f>
        <v/>
      </c>
      <c r="L489" s="38">
        <f>IF($C489="","",$E489*$H489)</f>
        <v/>
      </c>
      <c r="M489" s="38">
        <f>IF($C489="","",$J489-$L489-$P489)</f>
        <v/>
      </c>
      <c r="N489" s="34" t="n"/>
      <c r="O489" s="34" t="n"/>
      <c r="P489" s="38">
        <f>IF(OR($C489="",$N489&lt;&gt;"Card"),0,ROUND(($J489+$K489)*IFERROR(INDEX(Shows!$G$4:$G$23,MATCH($B489,Shows!$A$4:$A$23,0)),0)+IFERROR(INDEX(Shows!$H$4:$H$23,MATCH($B489,Shows!$A$4:$A$23,0)),0),2))</f>
        <v/>
      </c>
      <c r="Q489" s="38">
        <f>IF($C489="","",$J489+$K489-$P489)</f>
        <v/>
      </c>
      <c r="R489" s="34" t="n"/>
      <c r="S489" s="34" t="n"/>
      <c r="T489" s="34" t="n"/>
    </row>
    <row r="490">
      <c r="A490" s="46" t="n"/>
      <c r="B490" s="40" t="n"/>
      <c r="C490" s="40" t="n"/>
      <c r="D490" s="11">
        <f>IF($C490="","",IFERROR(INDEX(Inventory!$B$4:$B$253,MATCH($C490,Inventory!$A$4:$A$253,0))&amp;" "&amp;INDEX(Inventory!$C$4:$C$253,MATCH($C490,Inventory!$A$4:$A$253,0)),"SKU not in Inventory"))</f>
        <v/>
      </c>
      <c r="E490" s="42" t="n"/>
      <c r="F490" s="41" t="n"/>
      <c r="G490" s="41" t="n"/>
      <c r="H490" s="47">
        <f>IF($C490="","",IFERROR(INDEX(Inventory!$H$4:$H$253,MATCH($C490,Inventory!$A$4:$A$253,0)),0))</f>
        <v/>
      </c>
      <c r="I490" s="40" t="n"/>
      <c r="J490" s="44">
        <f>IF($C490="","",MAX(0,$E490*$F490-$G490))</f>
        <v/>
      </c>
      <c r="K490" s="44">
        <f>IF(OR($C490="",$I490="No"),0,ROUND($J490*IFERROR(INDEX(Shows!$F$4:$F$23,MATCH($B490,Shows!$A$4:$A$23,0)),0),2))</f>
        <v/>
      </c>
      <c r="L490" s="44">
        <f>IF($C490="","",$E490*$H490)</f>
        <v/>
      </c>
      <c r="M490" s="44">
        <f>IF($C490="","",$J490-$L490-$P490)</f>
        <v/>
      </c>
      <c r="N490" s="40" t="n"/>
      <c r="O490" s="40" t="n"/>
      <c r="P490" s="44">
        <f>IF(OR($C490="",$N490&lt;&gt;"Card"),0,ROUND(($J490+$K490)*IFERROR(INDEX(Shows!$G$4:$G$23,MATCH($B490,Shows!$A$4:$A$23,0)),0)+IFERROR(INDEX(Shows!$H$4:$H$23,MATCH($B490,Shows!$A$4:$A$23,0)),0),2))</f>
        <v/>
      </c>
      <c r="Q490" s="44">
        <f>IF($C490="","",$J490+$K490-$P490)</f>
        <v/>
      </c>
      <c r="R490" s="40" t="n"/>
      <c r="S490" s="40" t="n"/>
      <c r="T490" s="40" t="n"/>
    </row>
    <row r="491">
      <c r="A491" s="48" t="n"/>
      <c r="B491" s="34" t="n"/>
      <c r="C491" s="34" t="n"/>
      <c r="D491" s="15">
        <f>IF($C491="","",IFERROR(INDEX(Inventory!$B$4:$B$253,MATCH($C491,Inventory!$A$4:$A$253,0))&amp;" "&amp;INDEX(Inventory!$C$4:$C$253,MATCH($C491,Inventory!$A$4:$A$253,0)),"SKU not in Inventory"))</f>
        <v/>
      </c>
      <c r="E491" s="36" t="n"/>
      <c r="F491" s="35" t="n"/>
      <c r="G491" s="35" t="n"/>
      <c r="H491" s="49">
        <f>IF($C491="","",IFERROR(INDEX(Inventory!$H$4:$H$253,MATCH($C491,Inventory!$A$4:$A$253,0)),0))</f>
        <v/>
      </c>
      <c r="I491" s="34" t="n"/>
      <c r="J491" s="38">
        <f>IF($C491="","",MAX(0,$E491*$F491-$G491))</f>
        <v/>
      </c>
      <c r="K491" s="38">
        <f>IF(OR($C491="",$I491="No"),0,ROUND($J491*IFERROR(INDEX(Shows!$F$4:$F$23,MATCH($B491,Shows!$A$4:$A$23,0)),0),2))</f>
        <v/>
      </c>
      <c r="L491" s="38">
        <f>IF($C491="","",$E491*$H491)</f>
        <v/>
      </c>
      <c r="M491" s="38">
        <f>IF($C491="","",$J491-$L491-$P491)</f>
        <v/>
      </c>
      <c r="N491" s="34" t="n"/>
      <c r="O491" s="34" t="n"/>
      <c r="P491" s="38">
        <f>IF(OR($C491="",$N491&lt;&gt;"Card"),0,ROUND(($J491+$K491)*IFERROR(INDEX(Shows!$G$4:$G$23,MATCH($B491,Shows!$A$4:$A$23,0)),0)+IFERROR(INDEX(Shows!$H$4:$H$23,MATCH($B491,Shows!$A$4:$A$23,0)),0),2))</f>
        <v/>
      </c>
      <c r="Q491" s="38">
        <f>IF($C491="","",$J491+$K491-$P491)</f>
        <v/>
      </c>
      <c r="R491" s="34" t="n"/>
      <c r="S491" s="34" t="n"/>
      <c r="T491" s="34" t="n"/>
    </row>
    <row r="492">
      <c r="A492" s="46" t="n"/>
      <c r="B492" s="40" t="n"/>
      <c r="C492" s="40" t="n"/>
      <c r="D492" s="11">
        <f>IF($C492="","",IFERROR(INDEX(Inventory!$B$4:$B$253,MATCH($C492,Inventory!$A$4:$A$253,0))&amp;" "&amp;INDEX(Inventory!$C$4:$C$253,MATCH($C492,Inventory!$A$4:$A$253,0)),"SKU not in Inventory"))</f>
        <v/>
      </c>
      <c r="E492" s="42" t="n"/>
      <c r="F492" s="41" t="n"/>
      <c r="G492" s="41" t="n"/>
      <c r="H492" s="47">
        <f>IF($C492="","",IFERROR(INDEX(Inventory!$H$4:$H$253,MATCH($C492,Inventory!$A$4:$A$253,0)),0))</f>
        <v/>
      </c>
      <c r="I492" s="40" t="n"/>
      <c r="J492" s="44">
        <f>IF($C492="","",MAX(0,$E492*$F492-$G492))</f>
        <v/>
      </c>
      <c r="K492" s="44">
        <f>IF(OR($C492="",$I492="No"),0,ROUND($J492*IFERROR(INDEX(Shows!$F$4:$F$23,MATCH($B492,Shows!$A$4:$A$23,0)),0),2))</f>
        <v/>
      </c>
      <c r="L492" s="44">
        <f>IF($C492="","",$E492*$H492)</f>
        <v/>
      </c>
      <c r="M492" s="44">
        <f>IF($C492="","",$J492-$L492-$P492)</f>
        <v/>
      </c>
      <c r="N492" s="40" t="n"/>
      <c r="O492" s="40" t="n"/>
      <c r="P492" s="44">
        <f>IF(OR($C492="",$N492&lt;&gt;"Card"),0,ROUND(($J492+$K492)*IFERROR(INDEX(Shows!$G$4:$G$23,MATCH($B492,Shows!$A$4:$A$23,0)),0)+IFERROR(INDEX(Shows!$H$4:$H$23,MATCH($B492,Shows!$A$4:$A$23,0)),0),2))</f>
        <v/>
      </c>
      <c r="Q492" s="44">
        <f>IF($C492="","",$J492+$K492-$P492)</f>
        <v/>
      </c>
      <c r="R492" s="40" t="n"/>
      <c r="S492" s="40" t="n"/>
      <c r="T492" s="40" t="n"/>
    </row>
    <row r="493">
      <c r="A493" s="48" t="n"/>
      <c r="B493" s="34" t="n"/>
      <c r="C493" s="34" t="n"/>
      <c r="D493" s="15">
        <f>IF($C493="","",IFERROR(INDEX(Inventory!$B$4:$B$253,MATCH($C493,Inventory!$A$4:$A$253,0))&amp;" "&amp;INDEX(Inventory!$C$4:$C$253,MATCH($C493,Inventory!$A$4:$A$253,0)),"SKU not in Inventory"))</f>
        <v/>
      </c>
      <c r="E493" s="36" t="n"/>
      <c r="F493" s="35" t="n"/>
      <c r="G493" s="35" t="n"/>
      <c r="H493" s="49">
        <f>IF($C493="","",IFERROR(INDEX(Inventory!$H$4:$H$253,MATCH($C493,Inventory!$A$4:$A$253,0)),0))</f>
        <v/>
      </c>
      <c r="I493" s="34" t="n"/>
      <c r="J493" s="38">
        <f>IF($C493="","",MAX(0,$E493*$F493-$G493))</f>
        <v/>
      </c>
      <c r="K493" s="38">
        <f>IF(OR($C493="",$I493="No"),0,ROUND($J493*IFERROR(INDEX(Shows!$F$4:$F$23,MATCH($B493,Shows!$A$4:$A$23,0)),0),2))</f>
        <v/>
      </c>
      <c r="L493" s="38">
        <f>IF($C493="","",$E493*$H493)</f>
        <v/>
      </c>
      <c r="M493" s="38">
        <f>IF($C493="","",$J493-$L493-$P493)</f>
        <v/>
      </c>
      <c r="N493" s="34" t="n"/>
      <c r="O493" s="34" t="n"/>
      <c r="P493" s="38">
        <f>IF(OR($C493="",$N493&lt;&gt;"Card"),0,ROUND(($J493+$K493)*IFERROR(INDEX(Shows!$G$4:$G$23,MATCH($B493,Shows!$A$4:$A$23,0)),0)+IFERROR(INDEX(Shows!$H$4:$H$23,MATCH($B493,Shows!$A$4:$A$23,0)),0),2))</f>
        <v/>
      </c>
      <c r="Q493" s="38">
        <f>IF($C493="","",$J493+$K493-$P493)</f>
        <v/>
      </c>
      <c r="R493" s="34" t="n"/>
      <c r="S493" s="34" t="n"/>
      <c r="T493" s="34" t="n"/>
    </row>
    <row r="494">
      <c r="A494" s="46" t="n"/>
      <c r="B494" s="40" t="n"/>
      <c r="C494" s="40" t="n"/>
      <c r="D494" s="11">
        <f>IF($C494="","",IFERROR(INDEX(Inventory!$B$4:$B$253,MATCH($C494,Inventory!$A$4:$A$253,0))&amp;" "&amp;INDEX(Inventory!$C$4:$C$253,MATCH($C494,Inventory!$A$4:$A$253,0)),"SKU not in Inventory"))</f>
        <v/>
      </c>
      <c r="E494" s="42" t="n"/>
      <c r="F494" s="41" t="n"/>
      <c r="G494" s="41" t="n"/>
      <c r="H494" s="47">
        <f>IF($C494="","",IFERROR(INDEX(Inventory!$H$4:$H$253,MATCH($C494,Inventory!$A$4:$A$253,0)),0))</f>
        <v/>
      </c>
      <c r="I494" s="40" t="n"/>
      <c r="J494" s="44">
        <f>IF($C494="","",MAX(0,$E494*$F494-$G494))</f>
        <v/>
      </c>
      <c r="K494" s="44">
        <f>IF(OR($C494="",$I494="No"),0,ROUND($J494*IFERROR(INDEX(Shows!$F$4:$F$23,MATCH($B494,Shows!$A$4:$A$23,0)),0),2))</f>
        <v/>
      </c>
      <c r="L494" s="44">
        <f>IF($C494="","",$E494*$H494)</f>
        <v/>
      </c>
      <c r="M494" s="44">
        <f>IF($C494="","",$J494-$L494-$P494)</f>
        <v/>
      </c>
      <c r="N494" s="40" t="n"/>
      <c r="O494" s="40" t="n"/>
      <c r="P494" s="44">
        <f>IF(OR($C494="",$N494&lt;&gt;"Card"),0,ROUND(($J494+$K494)*IFERROR(INDEX(Shows!$G$4:$G$23,MATCH($B494,Shows!$A$4:$A$23,0)),0)+IFERROR(INDEX(Shows!$H$4:$H$23,MATCH($B494,Shows!$A$4:$A$23,0)),0),2))</f>
        <v/>
      </c>
      <c r="Q494" s="44">
        <f>IF($C494="","",$J494+$K494-$P494)</f>
        <v/>
      </c>
      <c r="R494" s="40" t="n"/>
      <c r="S494" s="40" t="n"/>
      <c r="T494" s="40" t="n"/>
    </row>
    <row r="495">
      <c r="A495" s="48" t="n"/>
      <c r="B495" s="34" t="n"/>
      <c r="C495" s="34" t="n"/>
      <c r="D495" s="15">
        <f>IF($C495="","",IFERROR(INDEX(Inventory!$B$4:$B$253,MATCH($C495,Inventory!$A$4:$A$253,0))&amp;" "&amp;INDEX(Inventory!$C$4:$C$253,MATCH($C495,Inventory!$A$4:$A$253,0)),"SKU not in Inventory"))</f>
        <v/>
      </c>
      <c r="E495" s="36" t="n"/>
      <c r="F495" s="35" t="n"/>
      <c r="G495" s="35" t="n"/>
      <c r="H495" s="49">
        <f>IF($C495="","",IFERROR(INDEX(Inventory!$H$4:$H$253,MATCH($C495,Inventory!$A$4:$A$253,0)),0))</f>
        <v/>
      </c>
      <c r="I495" s="34" t="n"/>
      <c r="J495" s="38">
        <f>IF($C495="","",MAX(0,$E495*$F495-$G495))</f>
        <v/>
      </c>
      <c r="K495" s="38">
        <f>IF(OR($C495="",$I495="No"),0,ROUND($J495*IFERROR(INDEX(Shows!$F$4:$F$23,MATCH($B495,Shows!$A$4:$A$23,0)),0),2))</f>
        <v/>
      </c>
      <c r="L495" s="38">
        <f>IF($C495="","",$E495*$H495)</f>
        <v/>
      </c>
      <c r="M495" s="38">
        <f>IF($C495="","",$J495-$L495-$P495)</f>
        <v/>
      </c>
      <c r="N495" s="34" t="n"/>
      <c r="O495" s="34" t="n"/>
      <c r="P495" s="38">
        <f>IF(OR($C495="",$N495&lt;&gt;"Card"),0,ROUND(($J495+$K495)*IFERROR(INDEX(Shows!$G$4:$G$23,MATCH($B495,Shows!$A$4:$A$23,0)),0)+IFERROR(INDEX(Shows!$H$4:$H$23,MATCH($B495,Shows!$A$4:$A$23,0)),0),2))</f>
        <v/>
      </c>
      <c r="Q495" s="38">
        <f>IF($C495="","",$J495+$K495-$P495)</f>
        <v/>
      </c>
      <c r="R495" s="34" t="n"/>
      <c r="S495" s="34" t="n"/>
      <c r="T495" s="34" t="n"/>
    </row>
    <row r="496">
      <c r="A496" s="46" t="n"/>
      <c r="B496" s="40" t="n"/>
      <c r="C496" s="40" t="n"/>
      <c r="D496" s="11">
        <f>IF($C496="","",IFERROR(INDEX(Inventory!$B$4:$B$253,MATCH($C496,Inventory!$A$4:$A$253,0))&amp;" "&amp;INDEX(Inventory!$C$4:$C$253,MATCH($C496,Inventory!$A$4:$A$253,0)),"SKU not in Inventory"))</f>
        <v/>
      </c>
      <c r="E496" s="42" t="n"/>
      <c r="F496" s="41" t="n"/>
      <c r="G496" s="41" t="n"/>
      <c r="H496" s="47">
        <f>IF($C496="","",IFERROR(INDEX(Inventory!$H$4:$H$253,MATCH($C496,Inventory!$A$4:$A$253,0)),0))</f>
        <v/>
      </c>
      <c r="I496" s="40" t="n"/>
      <c r="J496" s="44">
        <f>IF($C496="","",MAX(0,$E496*$F496-$G496))</f>
        <v/>
      </c>
      <c r="K496" s="44">
        <f>IF(OR($C496="",$I496="No"),0,ROUND($J496*IFERROR(INDEX(Shows!$F$4:$F$23,MATCH($B496,Shows!$A$4:$A$23,0)),0),2))</f>
        <v/>
      </c>
      <c r="L496" s="44">
        <f>IF($C496="","",$E496*$H496)</f>
        <v/>
      </c>
      <c r="M496" s="44">
        <f>IF($C496="","",$J496-$L496-$P496)</f>
        <v/>
      </c>
      <c r="N496" s="40" t="n"/>
      <c r="O496" s="40" t="n"/>
      <c r="P496" s="44">
        <f>IF(OR($C496="",$N496&lt;&gt;"Card"),0,ROUND(($J496+$K496)*IFERROR(INDEX(Shows!$G$4:$G$23,MATCH($B496,Shows!$A$4:$A$23,0)),0)+IFERROR(INDEX(Shows!$H$4:$H$23,MATCH($B496,Shows!$A$4:$A$23,0)),0),2))</f>
        <v/>
      </c>
      <c r="Q496" s="44">
        <f>IF($C496="","",$J496+$K496-$P496)</f>
        <v/>
      </c>
      <c r="R496" s="40" t="n"/>
      <c r="S496" s="40" t="n"/>
      <c r="T496" s="40" t="n"/>
    </row>
    <row r="497">
      <c r="A497" s="48" t="n"/>
      <c r="B497" s="34" t="n"/>
      <c r="C497" s="34" t="n"/>
      <c r="D497" s="15">
        <f>IF($C497="","",IFERROR(INDEX(Inventory!$B$4:$B$253,MATCH($C497,Inventory!$A$4:$A$253,0))&amp;" "&amp;INDEX(Inventory!$C$4:$C$253,MATCH($C497,Inventory!$A$4:$A$253,0)),"SKU not in Inventory"))</f>
        <v/>
      </c>
      <c r="E497" s="36" t="n"/>
      <c r="F497" s="35" t="n"/>
      <c r="G497" s="35" t="n"/>
      <c r="H497" s="49">
        <f>IF($C497="","",IFERROR(INDEX(Inventory!$H$4:$H$253,MATCH($C497,Inventory!$A$4:$A$253,0)),0))</f>
        <v/>
      </c>
      <c r="I497" s="34" t="n"/>
      <c r="J497" s="38">
        <f>IF($C497="","",MAX(0,$E497*$F497-$G497))</f>
        <v/>
      </c>
      <c r="K497" s="38">
        <f>IF(OR($C497="",$I497="No"),0,ROUND($J497*IFERROR(INDEX(Shows!$F$4:$F$23,MATCH($B497,Shows!$A$4:$A$23,0)),0),2))</f>
        <v/>
      </c>
      <c r="L497" s="38">
        <f>IF($C497="","",$E497*$H497)</f>
        <v/>
      </c>
      <c r="M497" s="38">
        <f>IF($C497="","",$J497-$L497-$P497)</f>
        <v/>
      </c>
      <c r="N497" s="34" t="n"/>
      <c r="O497" s="34" t="n"/>
      <c r="P497" s="38">
        <f>IF(OR($C497="",$N497&lt;&gt;"Card"),0,ROUND(($J497+$K497)*IFERROR(INDEX(Shows!$G$4:$G$23,MATCH($B497,Shows!$A$4:$A$23,0)),0)+IFERROR(INDEX(Shows!$H$4:$H$23,MATCH($B497,Shows!$A$4:$A$23,0)),0),2))</f>
        <v/>
      </c>
      <c r="Q497" s="38">
        <f>IF($C497="","",$J497+$K497-$P497)</f>
        <v/>
      </c>
      <c r="R497" s="34" t="n"/>
      <c r="S497" s="34" t="n"/>
      <c r="T497" s="34" t="n"/>
    </row>
    <row r="498">
      <c r="A498" s="46" t="n"/>
      <c r="B498" s="40" t="n"/>
      <c r="C498" s="40" t="n"/>
      <c r="D498" s="11">
        <f>IF($C498="","",IFERROR(INDEX(Inventory!$B$4:$B$253,MATCH($C498,Inventory!$A$4:$A$253,0))&amp;" "&amp;INDEX(Inventory!$C$4:$C$253,MATCH($C498,Inventory!$A$4:$A$253,0)),"SKU not in Inventory"))</f>
        <v/>
      </c>
      <c r="E498" s="42" t="n"/>
      <c r="F498" s="41" t="n"/>
      <c r="G498" s="41" t="n"/>
      <c r="H498" s="47">
        <f>IF($C498="","",IFERROR(INDEX(Inventory!$H$4:$H$253,MATCH($C498,Inventory!$A$4:$A$253,0)),0))</f>
        <v/>
      </c>
      <c r="I498" s="40" t="n"/>
      <c r="J498" s="44">
        <f>IF($C498="","",MAX(0,$E498*$F498-$G498))</f>
        <v/>
      </c>
      <c r="K498" s="44">
        <f>IF(OR($C498="",$I498="No"),0,ROUND($J498*IFERROR(INDEX(Shows!$F$4:$F$23,MATCH($B498,Shows!$A$4:$A$23,0)),0),2))</f>
        <v/>
      </c>
      <c r="L498" s="44">
        <f>IF($C498="","",$E498*$H498)</f>
        <v/>
      </c>
      <c r="M498" s="44">
        <f>IF($C498="","",$J498-$L498-$P498)</f>
        <v/>
      </c>
      <c r="N498" s="40" t="n"/>
      <c r="O498" s="40" t="n"/>
      <c r="P498" s="44">
        <f>IF(OR($C498="",$N498&lt;&gt;"Card"),0,ROUND(($J498+$K498)*IFERROR(INDEX(Shows!$G$4:$G$23,MATCH($B498,Shows!$A$4:$A$23,0)),0)+IFERROR(INDEX(Shows!$H$4:$H$23,MATCH($B498,Shows!$A$4:$A$23,0)),0),2))</f>
        <v/>
      </c>
      <c r="Q498" s="44">
        <f>IF($C498="","",$J498+$K498-$P498)</f>
        <v/>
      </c>
      <c r="R498" s="40" t="n"/>
      <c r="S498" s="40" t="n"/>
      <c r="T498" s="40" t="n"/>
    </row>
    <row r="499">
      <c r="A499" s="48" t="n"/>
      <c r="B499" s="34" t="n"/>
      <c r="C499" s="34" t="n"/>
      <c r="D499" s="15">
        <f>IF($C499="","",IFERROR(INDEX(Inventory!$B$4:$B$253,MATCH($C499,Inventory!$A$4:$A$253,0))&amp;" "&amp;INDEX(Inventory!$C$4:$C$253,MATCH($C499,Inventory!$A$4:$A$253,0)),"SKU not in Inventory"))</f>
        <v/>
      </c>
      <c r="E499" s="36" t="n"/>
      <c r="F499" s="35" t="n"/>
      <c r="G499" s="35" t="n"/>
      <c r="H499" s="49">
        <f>IF($C499="","",IFERROR(INDEX(Inventory!$H$4:$H$253,MATCH($C499,Inventory!$A$4:$A$253,0)),0))</f>
        <v/>
      </c>
      <c r="I499" s="34" t="n"/>
      <c r="J499" s="38">
        <f>IF($C499="","",MAX(0,$E499*$F499-$G499))</f>
        <v/>
      </c>
      <c r="K499" s="38">
        <f>IF(OR($C499="",$I499="No"),0,ROUND($J499*IFERROR(INDEX(Shows!$F$4:$F$23,MATCH($B499,Shows!$A$4:$A$23,0)),0),2))</f>
        <v/>
      </c>
      <c r="L499" s="38">
        <f>IF($C499="","",$E499*$H499)</f>
        <v/>
      </c>
      <c r="M499" s="38">
        <f>IF($C499="","",$J499-$L499-$P499)</f>
        <v/>
      </c>
      <c r="N499" s="34" t="n"/>
      <c r="O499" s="34" t="n"/>
      <c r="P499" s="38">
        <f>IF(OR($C499="",$N499&lt;&gt;"Card"),0,ROUND(($J499+$K499)*IFERROR(INDEX(Shows!$G$4:$G$23,MATCH($B499,Shows!$A$4:$A$23,0)),0)+IFERROR(INDEX(Shows!$H$4:$H$23,MATCH($B499,Shows!$A$4:$A$23,0)),0),2))</f>
        <v/>
      </c>
      <c r="Q499" s="38">
        <f>IF($C499="","",$J499+$K499-$P499)</f>
        <v/>
      </c>
      <c r="R499" s="34" t="n"/>
      <c r="S499" s="34" t="n"/>
      <c r="T499" s="34" t="n"/>
    </row>
    <row r="500">
      <c r="A500" s="46" t="n"/>
      <c r="B500" s="40" t="n"/>
      <c r="C500" s="40" t="n"/>
      <c r="D500" s="11">
        <f>IF($C500="","",IFERROR(INDEX(Inventory!$B$4:$B$253,MATCH($C500,Inventory!$A$4:$A$253,0))&amp;" "&amp;INDEX(Inventory!$C$4:$C$253,MATCH($C500,Inventory!$A$4:$A$253,0)),"SKU not in Inventory"))</f>
        <v/>
      </c>
      <c r="E500" s="42" t="n"/>
      <c r="F500" s="41" t="n"/>
      <c r="G500" s="41" t="n"/>
      <c r="H500" s="47">
        <f>IF($C500="","",IFERROR(INDEX(Inventory!$H$4:$H$253,MATCH($C500,Inventory!$A$4:$A$253,0)),0))</f>
        <v/>
      </c>
      <c r="I500" s="40" t="n"/>
      <c r="J500" s="44">
        <f>IF($C500="","",MAX(0,$E500*$F500-$G500))</f>
        <v/>
      </c>
      <c r="K500" s="44">
        <f>IF(OR($C500="",$I500="No"),0,ROUND($J500*IFERROR(INDEX(Shows!$F$4:$F$23,MATCH($B500,Shows!$A$4:$A$23,0)),0),2))</f>
        <v/>
      </c>
      <c r="L500" s="44">
        <f>IF($C500="","",$E500*$H500)</f>
        <v/>
      </c>
      <c r="M500" s="44">
        <f>IF($C500="","",$J500-$L500-$P500)</f>
        <v/>
      </c>
      <c r="N500" s="40" t="n"/>
      <c r="O500" s="40" t="n"/>
      <c r="P500" s="44">
        <f>IF(OR($C500="",$N500&lt;&gt;"Card"),0,ROUND(($J500+$K500)*IFERROR(INDEX(Shows!$G$4:$G$23,MATCH($B500,Shows!$A$4:$A$23,0)),0)+IFERROR(INDEX(Shows!$H$4:$H$23,MATCH($B500,Shows!$A$4:$A$23,0)),0),2))</f>
        <v/>
      </c>
      <c r="Q500" s="44">
        <f>IF($C500="","",$J500+$K500-$P500)</f>
        <v/>
      </c>
      <c r="R500" s="40" t="n"/>
      <c r="S500" s="40" t="n"/>
      <c r="T500" s="40" t="n"/>
    </row>
    <row r="501">
      <c r="A501" s="48" t="n"/>
      <c r="B501" s="34" t="n"/>
      <c r="C501" s="34" t="n"/>
      <c r="D501" s="15">
        <f>IF($C501="","",IFERROR(INDEX(Inventory!$B$4:$B$253,MATCH($C501,Inventory!$A$4:$A$253,0))&amp;" "&amp;INDEX(Inventory!$C$4:$C$253,MATCH($C501,Inventory!$A$4:$A$253,0)),"SKU not in Inventory"))</f>
        <v/>
      </c>
      <c r="E501" s="36" t="n"/>
      <c r="F501" s="35" t="n"/>
      <c r="G501" s="35" t="n"/>
      <c r="H501" s="49">
        <f>IF($C501="","",IFERROR(INDEX(Inventory!$H$4:$H$253,MATCH($C501,Inventory!$A$4:$A$253,0)),0))</f>
        <v/>
      </c>
      <c r="I501" s="34" t="n"/>
      <c r="J501" s="38">
        <f>IF($C501="","",MAX(0,$E501*$F501-$G501))</f>
        <v/>
      </c>
      <c r="K501" s="38">
        <f>IF(OR($C501="",$I501="No"),0,ROUND($J501*IFERROR(INDEX(Shows!$F$4:$F$23,MATCH($B501,Shows!$A$4:$A$23,0)),0),2))</f>
        <v/>
      </c>
      <c r="L501" s="38">
        <f>IF($C501="","",$E501*$H501)</f>
        <v/>
      </c>
      <c r="M501" s="38">
        <f>IF($C501="","",$J501-$L501-$P501)</f>
        <v/>
      </c>
      <c r="N501" s="34" t="n"/>
      <c r="O501" s="34" t="n"/>
      <c r="P501" s="38">
        <f>IF(OR($C501="",$N501&lt;&gt;"Card"),0,ROUND(($J501+$K501)*IFERROR(INDEX(Shows!$G$4:$G$23,MATCH($B501,Shows!$A$4:$A$23,0)),0)+IFERROR(INDEX(Shows!$H$4:$H$23,MATCH($B501,Shows!$A$4:$A$23,0)),0),2))</f>
        <v/>
      </c>
      <c r="Q501" s="38">
        <f>IF($C501="","",$J501+$K501-$P501)</f>
        <v/>
      </c>
      <c r="R501" s="34" t="n"/>
      <c r="S501" s="34" t="n"/>
      <c r="T501" s="34" t="n"/>
    </row>
    <row r="502">
      <c r="A502" s="46" t="n"/>
      <c r="B502" s="40" t="n"/>
      <c r="C502" s="40" t="n"/>
      <c r="D502" s="11">
        <f>IF($C502="","",IFERROR(INDEX(Inventory!$B$4:$B$253,MATCH($C502,Inventory!$A$4:$A$253,0))&amp;" "&amp;INDEX(Inventory!$C$4:$C$253,MATCH($C502,Inventory!$A$4:$A$253,0)),"SKU not in Inventory"))</f>
        <v/>
      </c>
      <c r="E502" s="42" t="n"/>
      <c r="F502" s="41" t="n"/>
      <c r="G502" s="41" t="n"/>
      <c r="H502" s="47">
        <f>IF($C502="","",IFERROR(INDEX(Inventory!$H$4:$H$253,MATCH($C502,Inventory!$A$4:$A$253,0)),0))</f>
        <v/>
      </c>
      <c r="I502" s="40" t="n"/>
      <c r="J502" s="44">
        <f>IF($C502="","",MAX(0,$E502*$F502-$G502))</f>
        <v/>
      </c>
      <c r="K502" s="44">
        <f>IF(OR($C502="",$I502="No"),0,ROUND($J502*IFERROR(INDEX(Shows!$F$4:$F$23,MATCH($B502,Shows!$A$4:$A$23,0)),0),2))</f>
        <v/>
      </c>
      <c r="L502" s="44">
        <f>IF($C502="","",$E502*$H502)</f>
        <v/>
      </c>
      <c r="M502" s="44">
        <f>IF($C502="","",$J502-$L502-$P502)</f>
        <v/>
      </c>
      <c r="N502" s="40" t="n"/>
      <c r="O502" s="40" t="n"/>
      <c r="P502" s="44">
        <f>IF(OR($C502="",$N502&lt;&gt;"Card"),0,ROUND(($J502+$K502)*IFERROR(INDEX(Shows!$G$4:$G$23,MATCH($B502,Shows!$A$4:$A$23,0)),0)+IFERROR(INDEX(Shows!$H$4:$H$23,MATCH($B502,Shows!$A$4:$A$23,0)),0),2))</f>
        <v/>
      </c>
      <c r="Q502" s="44">
        <f>IF($C502="","",$J502+$K502-$P502)</f>
        <v/>
      </c>
      <c r="R502" s="40" t="n"/>
      <c r="S502" s="40" t="n"/>
      <c r="T502" s="40" t="n"/>
    </row>
    <row r="503">
      <c r="A503" s="48" t="n"/>
      <c r="B503" s="34" t="n"/>
      <c r="C503" s="34" t="n"/>
      <c r="D503" s="15">
        <f>IF($C503="","",IFERROR(INDEX(Inventory!$B$4:$B$253,MATCH($C503,Inventory!$A$4:$A$253,0))&amp;" "&amp;INDEX(Inventory!$C$4:$C$253,MATCH($C503,Inventory!$A$4:$A$253,0)),"SKU not in Inventory"))</f>
        <v/>
      </c>
      <c r="E503" s="36" t="n"/>
      <c r="F503" s="35" t="n"/>
      <c r="G503" s="35" t="n"/>
      <c r="H503" s="49">
        <f>IF($C503="","",IFERROR(INDEX(Inventory!$H$4:$H$253,MATCH($C503,Inventory!$A$4:$A$253,0)),0))</f>
        <v/>
      </c>
      <c r="I503" s="34" t="n"/>
      <c r="J503" s="38">
        <f>IF($C503="","",MAX(0,$E503*$F503-$G503))</f>
        <v/>
      </c>
      <c r="K503" s="38">
        <f>IF(OR($C503="",$I503="No"),0,ROUND($J503*IFERROR(INDEX(Shows!$F$4:$F$23,MATCH($B503,Shows!$A$4:$A$23,0)),0),2))</f>
        <v/>
      </c>
      <c r="L503" s="38">
        <f>IF($C503="","",$E503*$H503)</f>
        <v/>
      </c>
      <c r="M503" s="38">
        <f>IF($C503="","",$J503-$L503-$P503)</f>
        <v/>
      </c>
      <c r="N503" s="34" t="n"/>
      <c r="O503" s="34" t="n"/>
      <c r="P503" s="38">
        <f>IF(OR($C503="",$N503&lt;&gt;"Card"),0,ROUND(($J503+$K503)*IFERROR(INDEX(Shows!$G$4:$G$23,MATCH($B503,Shows!$A$4:$A$23,0)),0)+IFERROR(INDEX(Shows!$H$4:$H$23,MATCH($B503,Shows!$A$4:$A$23,0)),0),2))</f>
        <v/>
      </c>
      <c r="Q503" s="38">
        <f>IF($C503="","",$J503+$K503-$P503)</f>
        <v/>
      </c>
      <c r="R503" s="34" t="n"/>
      <c r="S503" s="34" t="n"/>
      <c r="T503" s="34" t="n"/>
    </row>
  </sheetData>
  <dataValidations count="4">
    <dataValidation sqref="B4:B503" showDropDown="0" showInputMessage="0" showErrorMessage="0" allowBlank="1" type="list">
      <formula1>=Shows!$A$4:$A$23</formula1>
    </dataValidation>
    <dataValidation sqref="C4:C503" showDropDown="0" showInputMessage="0" showErrorMessage="0" allowBlank="1" type="list">
      <formula1>=Inventory!$A$4:$A$253</formula1>
    </dataValidation>
    <dataValidation sqref="N4:N503" showDropDown="0" showInputMessage="0" showErrorMessage="0" allowBlank="1" type="list">
      <formula1>=Lists!$D$4:$D$10</formula1>
    </dataValidation>
    <dataValidation sqref="I4:I503" showDropDown="0" showInputMessage="0" showErrorMessage="0" allowBlank="1" type="list">
      <formula1>=Lists!$E$4:$E$5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1" customWidth="1" min="4" max="4"/>
    <col width="11" customWidth="1" min="5" max="5"/>
    <col width="12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5" customWidth="1" min="15" max="15"/>
    <col width="14" customWidth="1" min="16" max="16"/>
    <col width="34" customWidth="1" min="17" max="17"/>
  </cols>
  <sheetData>
    <row r="1">
      <c r="A1" s="9" t="inlineStr">
        <is>
          <t>Shows — the fixed costs of showing up</t>
        </is>
      </c>
    </row>
    <row r="2">
      <c r="A2" s="2" t="inlineStr">
        <is>
          <t>Blue cells are yours to fill in. TOTAL SHOW COST is calculated. VERIFY every tax rate with the state before you sell — the seeded values are typical combined state+local rates for the venue city, not legal advice.</t>
        </is>
      </c>
    </row>
    <row r="3" ht="30" customHeight="1">
      <c r="A3" s="10" t="inlineStr">
        <is>
          <t>Show</t>
        </is>
      </c>
      <c r="B3" s="10" t="inlineStr">
        <is>
          <t>City</t>
        </is>
      </c>
      <c r="C3" s="10" t="inlineStr">
        <is>
          <t>State</t>
        </is>
      </c>
      <c r="D3" s="10" t="inlineStr">
        <is>
          <t>Start</t>
        </is>
      </c>
      <c r="E3" s="10" t="inlineStr">
        <is>
          <t>End</t>
        </is>
      </c>
      <c r="F3" s="10" t="inlineStr">
        <is>
          <t>Sales tax rate</t>
        </is>
      </c>
      <c r="G3" s="10" t="inlineStr">
        <is>
          <t>Card fee %</t>
        </is>
      </c>
      <c r="H3" s="10" t="inlineStr">
        <is>
          <t>Card flat $</t>
        </is>
      </c>
      <c r="I3" s="10" t="inlineStr">
        <is>
          <t>Table / booth</t>
        </is>
      </c>
      <c r="J3" s="10" t="inlineStr">
        <is>
          <t>Travel</t>
        </is>
      </c>
      <c r="K3" s="10" t="inlineStr">
        <is>
          <t>Lodging</t>
        </is>
      </c>
      <c r="L3" s="10" t="inlineStr">
        <is>
          <t>Meals</t>
        </is>
      </c>
      <c r="M3" s="10" t="inlineStr">
        <is>
          <t>Shipping</t>
        </is>
      </c>
      <c r="N3" s="10" t="inlineStr">
        <is>
          <t>Other</t>
        </is>
      </c>
      <c r="O3" s="10" t="inlineStr">
        <is>
          <t>TOTAL SHOW COST</t>
        </is>
      </c>
      <c r="P3" s="10" t="inlineStr">
        <is>
          <t>Opening cash float</t>
        </is>
      </c>
      <c r="Q3" s="10" t="inlineStr">
        <is>
          <t>Notes</t>
        </is>
      </c>
    </row>
    <row r="4">
      <c r="A4" s="40" t="inlineStr">
        <is>
          <t>SF Pen Show</t>
        </is>
      </c>
      <c r="B4" s="40" t="inlineStr">
        <is>
          <t>San Francisco Bay Area</t>
        </is>
      </c>
      <c r="C4" s="40" t="inlineStr">
        <is>
          <t>CA</t>
        </is>
      </c>
      <c r="D4" s="46" t="n"/>
      <c r="E4" s="46" t="n"/>
      <c r="F4" s="50" t="n">
        <v>0.09375</v>
      </c>
      <c r="G4" s="50" t="n">
        <v>0.026</v>
      </c>
      <c r="H4" s="41" t="n">
        <v>0.1</v>
      </c>
      <c r="I4" s="51" t="n"/>
      <c r="J4" s="51" t="n"/>
      <c r="K4" s="51" t="n"/>
      <c r="L4" s="51" t="n"/>
      <c r="M4" s="51" t="n"/>
      <c r="N4" s="51" t="n"/>
      <c r="O4" s="13">
        <f>IFERROR(SUM(I4:N4),0)</f>
        <v/>
      </c>
      <c r="P4" s="51" t="n"/>
      <c r="Q4" s="40" t="n"/>
    </row>
    <row r="5">
      <c r="A5" s="34" t="inlineStr">
        <is>
          <t>Orlando Pen Show</t>
        </is>
      </c>
      <c r="B5" s="34" t="inlineStr">
        <is>
          <t>Orlando</t>
        </is>
      </c>
      <c r="C5" s="34" t="inlineStr">
        <is>
          <t>FL</t>
        </is>
      </c>
      <c r="D5" s="48" t="n"/>
      <c r="E5" s="48" t="n"/>
      <c r="F5" s="52" t="n">
        <v>0.065</v>
      </c>
      <c r="G5" s="53" t="n">
        <v>0.026</v>
      </c>
      <c r="H5" s="35" t="n">
        <v>0.1</v>
      </c>
      <c r="I5" s="54" t="n"/>
      <c r="J5" s="54" t="n"/>
      <c r="K5" s="54" t="n"/>
      <c r="L5" s="54" t="n"/>
      <c r="M5" s="54" t="n"/>
      <c r="N5" s="54" t="n"/>
      <c r="O5" s="17">
        <f>IFERROR(SUM(I5:N5),0)</f>
        <v/>
      </c>
      <c r="P5" s="54" t="n"/>
      <c r="Q5" s="34" t="n"/>
    </row>
    <row r="6">
      <c r="A6" s="40" t="inlineStr">
        <is>
          <t>Dallas Pen Show</t>
        </is>
      </c>
      <c r="B6" s="40" t="inlineStr">
        <is>
          <t>Dallas</t>
        </is>
      </c>
      <c r="C6" s="40" t="inlineStr">
        <is>
          <t>TX</t>
        </is>
      </c>
      <c r="D6" s="46" t="n"/>
      <c r="E6" s="46" t="n"/>
      <c r="F6" s="50" t="n">
        <v>0.0825</v>
      </c>
      <c r="G6" s="50" t="n">
        <v>0.026</v>
      </c>
      <c r="H6" s="41" t="n">
        <v>0.1</v>
      </c>
      <c r="I6" s="51" t="n"/>
      <c r="J6" s="51" t="n"/>
      <c r="K6" s="51" t="n"/>
      <c r="L6" s="51" t="n"/>
      <c r="M6" s="51" t="n"/>
      <c r="N6" s="51" t="n"/>
      <c r="O6" s="13">
        <f>IFERROR(SUM(I6:N6),0)</f>
        <v/>
      </c>
      <c r="P6" s="51" t="n"/>
      <c r="Q6" s="40" t="n"/>
    </row>
    <row r="7">
      <c r="A7" s="34" t="inlineStr">
        <is>
          <t>Denver Pen Show</t>
        </is>
      </c>
      <c r="B7" s="34" t="inlineStr">
        <is>
          <t>Denver</t>
        </is>
      </c>
      <c r="C7" s="34" t="inlineStr">
        <is>
          <t>CO</t>
        </is>
      </c>
      <c r="D7" s="48" t="n"/>
      <c r="E7" s="48" t="n"/>
      <c r="F7" s="52" t="n">
        <v>0.0881</v>
      </c>
      <c r="G7" s="53" t="n">
        <v>0.026</v>
      </c>
      <c r="H7" s="35" t="n">
        <v>0.1</v>
      </c>
      <c r="I7" s="54" t="n"/>
      <c r="J7" s="54" t="n"/>
      <c r="K7" s="54" t="n"/>
      <c r="L7" s="54" t="n"/>
      <c r="M7" s="54" t="n"/>
      <c r="N7" s="54" t="n"/>
      <c r="O7" s="17">
        <f>IFERROR(SUM(I7:N7),0)</f>
        <v/>
      </c>
      <c r="P7" s="54" t="n"/>
      <c r="Q7" s="34" t="n"/>
    </row>
    <row r="8">
      <c r="A8" s="40" t="inlineStr">
        <is>
          <t>Ohio Pen Show</t>
        </is>
      </c>
      <c r="B8" s="40" t="inlineStr">
        <is>
          <t>Columbus</t>
        </is>
      </c>
      <c r="C8" s="40" t="inlineStr">
        <is>
          <t>OH</t>
        </is>
      </c>
      <c r="D8" s="46" t="n"/>
      <c r="E8" s="46" t="n"/>
      <c r="F8" s="50" t="n">
        <v>0.075</v>
      </c>
      <c r="G8" s="50" t="n">
        <v>0.026</v>
      </c>
      <c r="H8" s="41" t="n">
        <v>0.1</v>
      </c>
      <c r="I8" s="51" t="n"/>
      <c r="J8" s="51" t="n"/>
      <c r="K8" s="51" t="n"/>
      <c r="L8" s="51" t="n"/>
      <c r="M8" s="51" t="n"/>
      <c r="N8" s="51" t="n"/>
      <c r="O8" s="13">
        <f>IFERROR(SUM(I8:N8),0)</f>
        <v/>
      </c>
      <c r="P8" s="51" t="n"/>
      <c r="Q8" s="40" t="n"/>
    </row>
    <row r="9">
      <c r="A9" s="34" t="n"/>
      <c r="B9" s="34" t="n"/>
      <c r="C9" s="34" t="n"/>
      <c r="D9" s="48" t="n"/>
      <c r="E9" s="48" t="n"/>
      <c r="F9" s="53" t="n"/>
      <c r="G9" s="53" t="n"/>
      <c r="H9" s="35" t="n"/>
      <c r="I9" s="54" t="n"/>
      <c r="J9" s="54" t="n"/>
      <c r="K9" s="54" t="n"/>
      <c r="L9" s="54" t="n"/>
      <c r="M9" s="54" t="n"/>
      <c r="N9" s="54" t="n"/>
      <c r="O9" s="17">
        <f>IFERROR(SUM(I9:N9),0)</f>
        <v/>
      </c>
      <c r="P9" s="54" t="n"/>
      <c r="Q9" s="34" t="n"/>
    </row>
    <row r="10">
      <c r="A10" s="40" t="n"/>
      <c r="B10" s="40" t="n"/>
      <c r="C10" s="40" t="n"/>
      <c r="D10" s="46" t="n"/>
      <c r="E10" s="46" t="n"/>
      <c r="F10" s="50" t="n"/>
      <c r="G10" s="50" t="n"/>
      <c r="H10" s="41" t="n"/>
      <c r="I10" s="51" t="n"/>
      <c r="J10" s="51" t="n"/>
      <c r="K10" s="51" t="n"/>
      <c r="L10" s="51" t="n"/>
      <c r="M10" s="51" t="n"/>
      <c r="N10" s="51" t="n"/>
      <c r="O10" s="13">
        <f>IFERROR(SUM(I10:N10),0)</f>
        <v/>
      </c>
      <c r="P10" s="51" t="n"/>
      <c r="Q10" s="40" t="n"/>
    </row>
    <row r="11">
      <c r="A11" s="34" t="n"/>
      <c r="B11" s="34" t="n"/>
      <c r="C11" s="34" t="n"/>
      <c r="D11" s="48" t="n"/>
      <c r="E11" s="48" t="n"/>
      <c r="F11" s="53" t="n"/>
      <c r="G11" s="53" t="n"/>
      <c r="H11" s="35" t="n"/>
      <c r="I11" s="54" t="n"/>
      <c r="J11" s="54" t="n"/>
      <c r="K11" s="54" t="n"/>
      <c r="L11" s="54" t="n"/>
      <c r="M11" s="54" t="n"/>
      <c r="N11" s="54" t="n"/>
      <c r="O11" s="17">
        <f>IFERROR(SUM(I11:N11),0)</f>
        <v/>
      </c>
      <c r="P11" s="54" t="n"/>
      <c r="Q11" s="34" t="n"/>
    </row>
    <row r="12">
      <c r="A12" s="40" t="n"/>
      <c r="B12" s="40" t="n"/>
      <c r="C12" s="40" t="n"/>
      <c r="D12" s="46" t="n"/>
      <c r="E12" s="46" t="n"/>
      <c r="F12" s="50" t="n"/>
      <c r="G12" s="50" t="n"/>
      <c r="H12" s="41" t="n"/>
      <c r="I12" s="51" t="n"/>
      <c r="J12" s="51" t="n"/>
      <c r="K12" s="51" t="n"/>
      <c r="L12" s="51" t="n"/>
      <c r="M12" s="51" t="n"/>
      <c r="N12" s="51" t="n"/>
      <c r="O12" s="13">
        <f>IFERROR(SUM(I12:N12),0)</f>
        <v/>
      </c>
      <c r="P12" s="51" t="n"/>
      <c r="Q12" s="40" t="n"/>
    </row>
    <row r="13">
      <c r="A13" s="34" t="n"/>
      <c r="B13" s="34" t="n"/>
      <c r="C13" s="34" t="n"/>
      <c r="D13" s="48" t="n"/>
      <c r="E13" s="48" t="n"/>
      <c r="F13" s="53" t="n"/>
      <c r="G13" s="53" t="n"/>
      <c r="H13" s="35" t="n"/>
      <c r="I13" s="54" t="n"/>
      <c r="J13" s="54" t="n"/>
      <c r="K13" s="54" t="n"/>
      <c r="L13" s="54" t="n"/>
      <c r="M13" s="54" t="n"/>
      <c r="N13" s="54" t="n"/>
      <c r="O13" s="17">
        <f>IFERROR(SUM(I13:N13),0)</f>
        <v/>
      </c>
      <c r="P13" s="54" t="n"/>
      <c r="Q13" s="34" t="n"/>
    </row>
    <row r="14">
      <c r="A14" s="40" t="n"/>
      <c r="B14" s="40" t="n"/>
      <c r="C14" s="40" t="n"/>
      <c r="D14" s="46" t="n"/>
      <c r="E14" s="46" t="n"/>
      <c r="F14" s="50" t="n"/>
      <c r="G14" s="50" t="n"/>
      <c r="H14" s="41" t="n"/>
      <c r="I14" s="51" t="n"/>
      <c r="J14" s="51" t="n"/>
      <c r="K14" s="51" t="n"/>
      <c r="L14" s="51" t="n"/>
      <c r="M14" s="51" t="n"/>
      <c r="N14" s="51" t="n"/>
      <c r="O14" s="13">
        <f>IFERROR(SUM(I14:N14),0)</f>
        <v/>
      </c>
      <c r="P14" s="51" t="n"/>
      <c r="Q14" s="40" t="n"/>
    </row>
    <row r="15">
      <c r="A15" s="34" t="n"/>
      <c r="B15" s="34" t="n"/>
      <c r="C15" s="34" t="n"/>
      <c r="D15" s="48" t="n"/>
      <c r="E15" s="48" t="n"/>
      <c r="F15" s="53" t="n"/>
      <c r="G15" s="53" t="n"/>
      <c r="H15" s="35" t="n"/>
      <c r="I15" s="54" t="n"/>
      <c r="J15" s="54" t="n"/>
      <c r="K15" s="54" t="n"/>
      <c r="L15" s="54" t="n"/>
      <c r="M15" s="54" t="n"/>
      <c r="N15" s="54" t="n"/>
      <c r="O15" s="17">
        <f>IFERROR(SUM(I15:N15),0)</f>
        <v/>
      </c>
      <c r="P15" s="54" t="n"/>
      <c r="Q15" s="34" t="n"/>
    </row>
    <row r="16">
      <c r="A16" s="40" t="n"/>
      <c r="B16" s="40" t="n"/>
      <c r="C16" s="40" t="n"/>
      <c r="D16" s="46" t="n"/>
      <c r="E16" s="46" t="n"/>
      <c r="F16" s="50" t="n"/>
      <c r="G16" s="50" t="n"/>
      <c r="H16" s="41" t="n"/>
      <c r="I16" s="51" t="n"/>
      <c r="J16" s="51" t="n"/>
      <c r="K16" s="51" t="n"/>
      <c r="L16" s="51" t="n"/>
      <c r="M16" s="51" t="n"/>
      <c r="N16" s="51" t="n"/>
      <c r="O16" s="13">
        <f>IFERROR(SUM(I16:N16),0)</f>
        <v/>
      </c>
      <c r="P16" s="51" t="n"/>
      <c r="Q16" s="40" t="n"/>
    </row>
    <row r="17">
      <c r="A17" s="34" t="n"/>
      <c r="B17" s="34" t="n"/>
      <c r="C17" s="34" t="n"/>
      <c r="D17" s="48" t="n"/>
      <c r="E17" s="48" t="n"/>
      <c r="F17" s="53" t="n"/>
      <c r="G17" s="53" t="n"/>
      <c r="H17" s="35" t="n"/>
      <c r="I17" s="54" t="n"/>
      <c r="J17" s="54" t="n"/>
      <c r="K17" s="54" t="n"/>
      <c r="L17" s="54" t="n"/>
      <c r="M17" s="54" t="n"/>
      <c r="N17" s="54" t="n"/>
      <c r="O17" s="17">
        <f>IFERROR(SUM(I17:N17),0)</f>
        <v/>
      </c>
      <c r="P17" s="54" t="n"/>
      <c r="Q17" s="34" t="n"/>
    </row>
    <row r="18">
      <c r="A18" s="40" t="n"/>
      <c r="B18" s="40" t="n"/>
      <c r="C18" s="40" t="n"/>
      <c r="D18" s="46" t="n"/>
      <c r="E18" s="46" t="n"/>
      <c r="F18" s="50" t="n"/>
      <c r="G18" s="50" t="n"/>
      <c r="H18" s="41" t="n"/>
      <c r="I18" s="51" t="n"/>
      <c r="J18" s="51" t="n"/>
      <c r="K18" s="51" t="n"/>
      <c r="L18" s="51" t="n"/>
      <c r="M18" s="51" t="n"/>
      <c r="N18" s="51" t="n"/>
      <c r="O18" s="13">
        <f>IFERROR(SUM(I18:N18),0)</f>
        <v/>
      </c>
      <c r="P18" s="51" t="n"/>
      <c r="Q18" s="40" t="n"/>
    </row>
    <row r="19">
      <c r="A19" s="34" t="n"/>
      <c r="B19" s="34" t="n"/>
      <c r="C19" s="34" t="n"/>
      <c r="D19" s="48" t="n"/>
      <c r="E19" s="48" t="n"/>
      <c r="F19" s="53" t="n"/>
      <c r="G19" s="53" t="n"/>
      <c r="H19" s="35" t="n"/>
      <c r="I19" s="54" t="n"/>
      <c r="J19" s="54" t="n"/>
      <c r="K19" s="54" t="n"/>
      <c r="L19" s="54" t="n"/>
      <c r="M19" s="54" t="n"/>
      <c r="N19" s="54" t="n"/>
      <c r="O19" s="17">
        <f>IFERROR(SUM(I19:N19),0)</f>
        <v/>
      </c>
      <c r="P19" s="54" t="n"/>
      <c r="Q19" s="34" t="n"/>
    </row>
    <row r="20">
      <c r="A20" s="40" t="n"/>
      <c r="B20" s="40" t="n"/>
      <c r="C20" s="40" t="n"/>
      <c r="D20" s="46" t="n"/>
      <c r="E20" s="46" t="n"/>
      <c r="F20" s="50" t="n"/>
      <c r="G20" s="50" t="n"/>
      <c r="H20" s="41" t="n"/>
      <c r="I20" s="51" t="n"/>
      <c r="J20" s="51" t="n"/>
      <c r="K20" s="51" t="n"/>
      <c r="L20" s="51" t="n"/>
      <c r="M20" s="51" t="n"/>
      <c r="N20" s="51" t="n"/>
      <c r="O20" s="13">
        <f>IFERROR(SUM(I20:N20),0)</f>
        <v/>
      </c>
      <c r="P20" s="51" t="n"/>
      <c r="Q20" s="40" t="n"/>
    </row>
    <row r="21">
      <c r="A21" s="34" t="n"/>
      <c r="B21" s="34" t="n"/>
      <c r="C21" s="34" t="n"/>
      <c r="D21" s="48" t="n"/>
      <c r="E21" s="48" t="n"/>
      <c r="F21" s="53" t="n"/>
      <c r="G21" s="53" t="n"/>
      <c r="H21" s="35" t="n"/>
      <c r="I21" s="54" t="n"/>
      <c r="J21" s="54" t="n"/>
      <c r="K21" s="54" t="n"/>
      <c r="L21" s="54" t="n"/>
      <c r="M21" s="54" t="n"/>
      <c r="N21" s="54" t="n"/>
      <c r="O21" s="17">
        <f>IFERROR(SUM(I21:N21),0)</f>
        <v/>
      </c>
      <c r="P21" s="54" t="n"/>
      <c r="Q21" s="34" t="n"/>
    </row>
    <row r="22">
      <c r="A22" s="40" t="n"/>
      <c r="B22" s="40" t="n"/>
      <c r="C22" s="40" t="n"/>
      <c r="D22" s="46" t="n"/>
      <c r="E22" s="46" t="n"/>
      <c r="F22" s="50" t="n"/>
      <c r="G22" s="50" t="n"/>
      <c r="H22" s="41" t="n"/>
      <c r="I22" s="51" t="n"/>
      <c r="J22" s="51" t="n"/>
      <c r="K22" s="51" t="n"/>
      <c r="L22" s="51" t="n"/>
      <c r="M22" s="51" t="n"/>
      <c r="N22" s="51" t="n"/>
      <c r="O22" s="13">
        <f>IFERROR(SUM(I22:N22),0)</f>
        <v/>
      </c>
      <c r="P22" s="51" t="n"/>
      <c r="Q22" s="40" t="n"/>
    </row>
    <row r="23">
      <c r="A23" s="34" t="n"/>
      <c r="B23" s="34" t="n"/>
      <c r="C23" s="34" t="n"/>
      <c r="D23" s="48" t="n"/>
      <c r="E23" s="48" t="n"/>
      <c r="F23" s="53" t="n"/>
      <c r="G23" s="53" t="n"/>
      <c r="H23" s="35" t="n"/>
      <c r="I23" s="54" t="n"/>
      <c r="J23" s="54" t="n"/>
      <c r="K23" s="54" t="n"/>
      <c r="L23" s="54" t="n"/>
      <c r="M23" s="54" t="n"/>
      <c r="N23" s="54" t="n"/>
      <c r="O23" s="17">
        <f>IFERROR(SUM(I23:N23),0)</f>
        <v/>
      </c>
      <c r="P23" s="54" t="n"/>
      <c r="Q23" s="3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Validation lists</t>
        </is>
      </c>
    </row>
    <row r="2">
      <c r="A2" s="2" t="inlineStr">
        <is>
          <t>Add your own values down each column; the dropdowns pick them up automatically.</t>
        </is>
      </c>
    </row>
    <row r="3">
      <c r="A3" s="55" t="inlineStr">
        <is>
          <t>Category</t>
        </is>
      </c>
      <c r="B3" s="55" t="inlineStr">
        <is>
          <t>Nib</t>
        </is>
      </c>
      <c r="C3" s="55" t="inlineStr">
        <is>
          <t>Condition</t>
        </is>
      </c>
      <c r="D3" s="55" t="inlineStr">
        <is>
          <t>Payment</t>
        </is>
      </c>
      <c r="E3" s="55" t="inlineStr">
        <is>
          <t>Yes/No</t>
        </is>
      </c>
    </row>
    <row r="4">
      <c r="A4" s="4" t="inlineStr">
        <is>
          <t>Pen</t>
        </is>
      </c>
      <c r="B4" s="4" t="inlineStr">
        <is>
          <t>EF</t>
        </is>
      </c>
      <c r="C4" s="4" t="inlineStr">
        <is>
          <t>New</t>
        </is>
      </c>
      <c r="D4" s="4" t="inlineStr">
        <is>
          <t>Cash</t>
        </is>
      </c>
      <c r="E4" s="4" t="inlineStr">
        <is>
          <t>Yes</t>
        </is>
      </c>
    </row>
    <row r="5">
      <c r="A5" s="4" t="inlineStr">
        <is>
          <t>Vintage Pen</t>
        </is>
      </c>
      <c r="B5" s="4" t="inlineStr">
        <is>
          <t>F</t>
        </is>
      </c>
      <c r="C5" s="4" t="inlineStr">
        <is>
          <t>New old stock</t>
        </is>
      </c>
      <c r="D5" s="4" t="inlineStr">
        <is>
          <t>Zelle</t>
        </is>
      </c>
      <c r="E5" s="4" t="inlineStr">
        <is>
          <t>No</t>
        </is>
      </c>
    </row>
    <row r="6">
      <c r="A6" s="4" t="inlineStr">
        <is>
          <t>Nib</t>
        </is>
      </c>
      <c r="B6" s="4" t="inlineStr">
        <is>
          <t>M</t>
        </is>
      </c>
      <c r="C6" s="4" t="inlineStr">
        <is>
          <t>Restored</t>
        </is>
      </c>
      <c r="D6" s="4" t="inlineStr">
        <is>
          <t>Venmo</t>
        </is>
      </c>
    </row>
    <row r="7">
      <c r="A7" s="4" t="inlineStr">
        <is>
          <t>Ink</t>
        </is>
      </c>
      <c r="B7" s="4" t="inlineStr">
        <is>
          <t>B</t>
        </is>
      </c>
      <c r="C7" s="4" t="inlineStr">
        <is>
          <t>Used - excellent</t>
        </is>
      </c>
      <c r="D7" s="4" t="inlineStr">
        <is>
          <t>Card</t>
        </is>
      </c>
    </row>
    <row r="8">
      <c r="A8" s="4" t="inlineStr">
        <is>
          <t>Paper</t>
        </is>
      </c>
      <c r="B8" s="4" t="inlineStr">
        <is>
          <t>BB</t>
        </is>
      </c>
      <c r="C8" s="4" t="inlineStr">
        <is>
          <t>Used - good</t>
        </is>
      </c>
      <c r="D8" s="4" t="inlineStr">
        <is>
          <t>Check</t>
        </is>
      </c>
    </row>
    <row r="9">
      <c r="A9" s="4" t="inlineStr">
        <is>
          <t>Accessory</t>
        </is>
      </c>
      <c r="B9" s="4" t="inlineStr">
        <is>
          <t>Stub</t>
        </is>
      </c>
      <c r="C9" s="4" t="inlineStr">
        <is>
          <t>For parts</t>
        </is>
      </c>
      <c r="D9" s="4" t="inlineStr">
        <is>
          <t>Trade</t>
        </is>
      </c>
    </row>
    <row r="10">
      <c r="A10" s="4" t="inlineStr">
        <is>
          <t>Service</t>
        </is>
      </c>
      <c r="B10" s="4" t="inlineStr">
        <is>
          <t>Italic</t>
        </is>
      </c>
      <c r="D10" s="4" t="inlineStr">
        <is>
          <t>Split</t>
        </is>
      </c>
    </row>
    <row r="11">
      <c r="B11" s="4" t="inlineStr">
        <is>
          <t>Architect</t>
        </is>
      </c>
    </row>
    <row r="12">
      <c r="B12" s="4" t="inlineStr">
        <is>
          <t>Music</t>
        </is>
      </c>
    </row>
    <row r="13">
      <c r="B13" s="4" t="inlineStr">
        <is>
          <t>Flex</t>
        </is>
      </c>
    </row>
    <row r="14">
      <c r="B14" s="4" t="inlineStr">
        <is>
          <t>Zoom</t>
        </is>
      </c>
    </row>
    <row r="15">
      <c r="B15" s="4" t="inlineStr">
        <is>
          <t>Fude</t>
        </is>
      </c>
    </row>
    <row r="16">
      <c r="B16" s="4" t="inlineStr">
        <is>
          <t>Needlepoint</t>
        </is>
      </c>
    </row>
    <row r="17">
      <c r="B17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2026-08-17T22:22:39Z</dcterms:created>
  <dcterms:modified xsi:type="dcterms:W3CDTF">2026-08-17T22:22:40Z</dcterms:modified>
</cp:coreProperties>
</file>